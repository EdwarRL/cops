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lejo\cops\Python\"/>
    </mc:Choice>
  </mc:AlternateContent>
  <xr:revisionPtr revIDLastSave="0" documentId="13_ncr:1_{3D124FCB-E10C-4F13-946F-21614EEBF4F7}" xr6:coauthVersionLast="47" xr6:coauthVersionMax="47" xr10:uidLastSave="{00000000-0000-0000-0000-000000000000}"/>
  <bookViews>
    <workbookView xWindow="28680" yWindow="-120" windowWidth="29040" windowHeight="15720" tabRatio="803" xr2:uid="{D3A0C0C5-C74B-4414-A0BF-A42C0D0B2BFB}"/>
  </bookViews>
  <sheets>
    <sheet name="Caribe2" sheetId="1" r:id="rId1"/>
    <sheet name="Gráfica_Caribe2" sheetId="18" r:id="rId2"/>
    <sheet name="Atlantico_LP" sheetId="15" r:id="rId3"/>
    <sheet name="Atlantico" sheetId="3" r:id="rId4"/>
    <sheet name="Bolivar_LP" sheetId="4" r:id="rId5"/>
    <sheet name="Bolivar" sheetId="19" r:id="rId6"/>
    <sheet name="GCM_LP" sheetId="17" r:id="rId7"/>
    <sheet name="GCM" sheetId="20" r:id="rId8"/>
    <sheet name="Elm_TipoDia" sheetId="9" r:id="rId9"/>
    <sheet name="Hoja1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5" l="1"/>
  <c r="AB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3" i="18"/>
  <c r="B2" i="4"/>
  <c r="F3" i="17"/>
  <c r="E4" i="17" s="1"/>
  <c r="B3" i="17"/>
  <c r="A4" i="17" s="1"/>
  <c r="E4" i="20" l="1"/>
  <c r="A4" i="20"/>
  <c r="A3" i="19"/>
  <c r="E28" i="18" l="1"/>
  <c r="D31" i="18"/>
  <c r="D28" i="18"/>
  <c r="C29" i="18"/>
  <c r="C30" i="18" s="1"/>
  <c r="H28" i="18"/>
  <c r="G28" i="18"/>
  <c r="F28" i="18"/>
  <c r="AY25" i="18"/>
  <c r="AU24" i="18"/>
  <c r="AY24" i="18" s="1"/>
  <c r="AU23" i="18"/>
  <c r="AY23" i="18" s="1"/>
  <c r="AQ23" i="18"/>
  <c r="AU22" i="18"/>
  <c r="AY22" i="18" s="1"/>
  <c r="AQ22" i="18"/>
  <c r="AM22" i="18"/>
  <c r="AM21" i="18"/>
  <c r="AQ21" i="18" s="1"/>
  <c r="AU21" i="18" s="1"/>
  <c r="AY21" i="18" s="1"/>
  <c r="AG21" i="18"/>
  <c r="AG22" i="18" s="1"/>
  <c r="AK20" i="18"/>
  <c r="AO20" i="18" s="1"/>
  <c r="AS20" i="18" s="1"/>
  <c r="AW20" i="18" s="1"/>
  <c r="AI20" i="18"/>
  <c r="AM20" i="18" s="1"/>
  <c r="AQ20" i="18" s="1"/>
  <c r="AU20" i="18" s="1"/>
  <c r="AY20" i="18" s="1"/>
  <c r="AH20" i="18"/>
  <c r="AH21" i="18" s="1"/>
  <c r="AG20" i="18"/>
  <c r="AM19" i="18"/>
  <c r="AQ19" i="18" s="1"/>
  <c r="AU19" i="18" s="1"/>
  <c r="AY19" i="18" s="1"/>
  <c r="AL19" i="18"/>
  <c r="AP19" i="18" s="1"/>
  <c r="AT19" i="18" s="1"/>
  <c r="AX19" i="18" s="1"/>
  <c r="AI19" i="18"/>
  <c r="AH19" i="18"/>
  <c r="AG19" i="18"/>
  <c r="AK19" i="18" s="1"/>
  <c r="AO19" i="18" s="1"/>
  <c r="AS19" i="18" s="1"/>
  <c r="AW19" i="18" s="1"/>
  <c r="AQ18" i="18"/>
  <c r="AU18" i="18" s="1"/>
  <c r="AY18" i="18" s="1"/>
  <c r="AP18" i="18"/>
  <c r="AT18" i="18" s="1"/>
  <c r="AX18" i="18" s="1"/>
  <c r="AM18" i="18"/>
  <c r="AL18" i="18"/>
  <c r="AI18" i="18"/>
  <c r="AH18" i="18"/>
  <c r="AG18" i="18"/>
  <c r="AK18" i="18" s="1"/>
  <c r="AO18" i="18" s="1"/>
  <c r="AS18" i="18" s="1"/>
  <c r="AW18" i="18" s="1"/>
  <c r="AI17" i="18"/>
  <c r="AM17" i="18" s="1"/>
  <c r="AQ17" i="18" s="1"/>
  <c r="AU17" i="18" s="1"/>
  <c r="AY17" i="18" s="1"/>
  <c r="AH17" i="18"/>
  <c r="AL17" i="18" s="1"/>
  <c r="AP17" i="18" s="1"/>
  <c r="AT17" i="18" s="1"/>
  <c r="AX17" i="18" s="1"/>
  <c r="AG17" i="18"/>
  <c r="AK17" i="18" s="1"/>
  <c r="AO17" i="18" s="1"/>
  <c r="AS17" i="18" s="1"/>
  <c r="AW17" i="18" s="1"/>
  <c r="AK16" i="18"/>
  <c r="AO16" i="18" s="1"/>
  <c r="AS16" i="18" s="1"/>
  <c r="AW16" i="18" s="1"/>
  <c r="AI16" i="18"/>
  <c r="AM16" i="18" s="1"/>
  <c r="AQ16" i="18" s="1"/>
  <c r="AU16" i="18" s="1"/>
  <c r="AY16" i="18" s="1"/>
  <c r="AH16" i="18"/>
  <c r="AL16" i="18" s="1"/>
  <c r="AP16" i="18" s="1"/>
  <c r="AT16" i="18" s="1"/>
  <c r="AX16" i="18" s="1"/>
  <c r="AG16" i="18"/>
  <c r="AM15" i="18"/>
  <c r="AQ15" i="18" s="1"/>
  <c r="AU15" i="18" s="1"/>
  <c r="AY15" i="18" s="1"/>
  <c r="AL15" i="18"/>
  <c r="AP15" i="18" s="1"/>
  <c r="AT15" i="18" s="1"/>
  <c r="AX15" i="18" s="1"/>
  <c r="AI15" i="18"/>
  <c r="AH15" i="18"/>
  <c r="AG15" i="18"/>
  <c r="AK15" i="18" s="1"/>
  <c r="AO15" i="18" s="1"/>
  <c r="AS15" i="18" s="1"/>
  <c r="AW15" i="18" s="1"/>
  <c r="E15" i="18"/>
  <c r="I15" i="18" s="1"/>
  <c r="A15" i="18"/>
  <c r="AI14" i="18"/>
  <c r="AM14" i="18" s="1"/>
  <c r="AQ14" i="18" s="1"/>
  <c r="AU14" i="18" s="1"/>
  <c r="AY14" i="18" s="1"/>
  <c r="AH14" i="18"/>
  <c r="AL14" i="18" s="1"/>
  <c r="AP14" i="18" s="1"/>
  <c r="AT14" i="18" s="1"/>
  <c r="AX14" i="18" s="1"/>
  <c r="AG14" i="18"/>
  <c r="AK14" i="18" s="1"/>
  <c r="AO14" i="18" s="1"/>
  <c r="AS14" i="18" s="1"/>
  <c r="AW14" i="18" s="1"/>
  <c r="K14" i="18"/>
  <c r="K15" i="18" s="1"/>
  <c r="J14" i="18"/>
  <c r="J15" i="18" s="1"/>
  <c r="E14" i="18"/>
  <c r="I14" i="18" s="1"/>
  <c r="A14" i="18"/>
  <c r="AI13" i="18"/>
  <c r="AM13" i="18" s="1"/>
  <c r="AQ13" i="18" s="1"/>
  <c r="AU13" i="18" s="1"/>
  <c r="AY13" i="18" s="1"/>
  <c r="AH13" i="18"/>
  <c r="AL13" i="18" s="1"/>
  <c r="AP13" i="18" s="1"/>
  <c r="AT13" i="18" s="1"/>
  <c r="AX13" i="18" s="1"/>
  <c r="AG13" i="18"/>
  <c r="AK13" i="18" s="1"/>
  <c r="AO13" i="18" s="1"/>
  <c r="AS13" i="18" s="1"/>
  <c r="AW13" i="18" s="1"/>
  <c r="K13" i="18"/>
  <c r="J13" i="18"/>
  <c r="E13" i="18"/>
  <c r="I13" i="18" s="1"/>
  <c r="A13" i="18"/>
  <c r="AO12" i="18"/>
  <c r="AS12" i="18" s="1"/>
  <c r="AW12" i="18" s="1"/>
  <c r="AM12" i="18"/>
  <c r="AQ12" i="18" s="1"/>
  <c r="AU12" i="18" s="1"/>
  <c r="AY12" i="18" s="1"/>
  <c r="AL12" i="18"/>
  <c r="AP12" i="18" s="1"/>
  <c r="AT12" i="18" s="1"/>
  <c r="AX12" i="18" s="1"/>
  <c r="AK12" i="18"/>
  <c r="AI12" i="18"/>
  <c r="AH12" i="18"/>
  <c r="AG12" i="18"/>
  <c r="K12" i="18"/>
  <c r="J12" i="18"/>
  <c r="E12" i="18"/>
  <c r="I12" i="18" s="1"/>
  <c r="A12" i="18"/>
  <c r="AI11" i="18"/>
  <c r="AM11" i="18" s="1"/>
  <c r="AQ11" i="18" s="1"/>
  <c r="AU11" i="18" s="1"/>
  <c r="AY11" i="18" s="1"/>
  <c r="AH11" i="18"/>
  <c r="AL11" i="18" s="1"/>
  <c r="AP11" i="18" s="1"/>
  <c r="AT11" i="18" s="1"/>
  <c r="AX11" i="18" s="1"/>
  <c r="AG11" i="18"/>
  <c r="AK11" i="18" s="1"/>
  <c r="AO11" i="18" s="1"/>
  <c r="AS11" i="18" s="1"/>
  <c r="AW11" i="18" s="1"/>
  <c r="K11" i="18"/>
  <c r="J11" i="18"/>
  <c r="E11" i="18"/>
  <c r="I11" i="18" s="1"/>
  <c r="A11" i="18"/>
  <c r="AI10" i="18"/>
  <c r="AM10" i="18" s="1"/>
  <c r="AQ10" i="18" s="1"/>
  <c r="AU10" i="18" s="1"/>
  <c r="AY10" i="18" s="1"/>
  <c r="AH10" i="18"/>
  <c r="AL10" i="18" s="1"/>
  <c r="AP10" i="18" s="1"/>
  <c r="AT10" i="18" s="1"/>
  <c r="AX10" i="18" s="1"/>
  <c r="AG10" i="18"/>
  <c r="AK10" i="18" s="1"/>
  <c r="AO10" i="18" s="1"/>
  <c r="AS10" i="18" s="1"/>
  <c r="AW10" i="18" s="1"/>
  <c r="K10" i="18"/>
  <c r="J10" i="18"/>
  <c r="E10" i="18"/>
  <c r="I10" i="18" s="1"/>
  <c r="A10" i="18"/>
  <c r="AO9" i="18"/>
  <c r="AS9" i="18" s="1"/>
  <c r="AW9" i="18" s="1"/>
  <c r="AM9" i="18"/>
  <c r="AQ9" i="18" s="1"/>
  <c r="AU9" i="18" s="1"/>
  <c r="AY9" i="18" s="1"/>
  <c r="AL9" i="18"/>
  <c r="AP9" i="18" s="1"/>
  <c r="AT9" i="18" s="1"/>
  <c r="AX9" i="18" s="1"/>
  <c r="AK9" i="18"/>
  <c r="AI9" i="18"/>
  <c r="AH9" i="18"/>
  <c r="AG9" i="18"/>
  <c r="K9" i="18"/>
  <c r="J9" i="18"/>
  <c r="E9" i="18"/>
  <c r="I9" i="18" s="1"/>
  <c r="A9" i="18"/>
  <c r="AI8" i="18"/>
  <c r="AM8" i="18" s="1"/>
  <c r="AQ8" i="18" s="1"/>
  <c r="AU8" i="18" s="1"/>
  <c r="AY8" i="18" s="1"/>
  <c r="AH8" i="18"/>
  <c r="AL8" i="18" s="1"/>
  <c r="AP8" i="18" s="1"/>
  <c r="AT8" i="18" s="1"/>
  <c r="AX8" i="18" s="1"/>
  <c r="AG8" i="18"/>
  <c r="AK8" i="18" s="1"/>
  <c r="AO8" i="18" s="1"/>
  <c r="AS8" i="18" s="1"/>
  <c r="AW8" i="18" s="1"/>
  <c r="K8" i="18"/>
  <c r="J8" i="18"/>
  <c r="E8" i="18"/>
  <c r="I8" i="18" s="1"/>
  <c r="A8" i="18"/>
  <c r="AI7" i="18"/>
  <c r="AM7" i="18" s="1"/>
  <c r="AQ7" i="18" s="1"/>
  <c r="AU7" i="18" s="1"/>
  <c r="AY7" i="18" s="1"/>
  <c r="AH7" i="18"/>
  <c r="AL7" i="18" s="1"/>
  <c r="AP7" i="18" s="1"/>
  <c r="AT7" i="18" s="1"/>
  <c r="AX7" i="18" s="1"/>
  <c r="AG7" i="18"/>
  <c r="AK7" i="18" s="1"/>
  <c r="AO7" i="18" s="1"/>
  <c r="AS7" i="18" s="1"/>
  <c r="AW7" i="18" s="1"/>
  <c r="K7" i="18"/>
  <c r="J7" i="18"/>
  <c r="E7" i="18"/>
  <c r="I7" i="18" s="1"/>
  <c r="A7" i="18"/>
  <c r="AO6" i="18"/>
  <c r="AS6" i="18" s="1"/>
  <c r="AW6" i="18" s="1"/>
  <c r="AM6" i="18"/>
  <c r="AQ6" i="18" s="1"/>
  <c r="AU6" i="18" s="1"/>
  <c r="AY6" i="18" s="1"/>
  <c r="AL6" i="18"/>
  <c r="AP6" i="18" s="1"/>
  <c r="AT6" i="18" s="1"/>
  <c r="AX6" i="18" s="1"/>
  <c r="AK6" i="18"/>
  <c r="AI6" i="18"/>
  <c r="AH6" i="18"/>
  <c r="AG6" i="18"/>
  <c r="K6" i="18"/>
  <c r="J6" i="18"/>
  <c r="E6" i="18"/>
  <c r="I6" i="18" s="1"/>
  <c r="A6" i="18"/>
  <c r="AI5" i="18"/>
  <c r="AM5" i="18" s="1"/>
  <c r="AQ5" i="18" s="1"/>
  <c r="AU5" i="18" s="1"/>
  <c r="AY5" i="18" s="1"/>
  <c r="AH5" i="18"/>
  <c r="AL5" i="18" s="1"/>
  <c r="AP5" i="18" s="1"/>
  <c r="AT5" i="18" s="1"/>
  <c r="AX5" i="18" s="1"/>
  <c r="AG5" i="18"/>
  <c r="AK5" i="18" s="1"/>
  <c r="AO5" i="18" s="1"/>
  <c r="AS5" i="18" s="1"/>
  <c r="AW5" i="18" s="1"/>
  <c r="K5" i="18"/>
  <c r="J5" i="18"/>
  <c r="E5" i="18"/>
  <c r="I5" i="18" s="1"/>
  <c r="A5" i="18"/>
  <c r="AI4" i="18"/>
  <c r="AM4" i="18" s="1"/>
  <c r="AQ4" i="18" s="1"/>
  <c r="AU4" i="18" s="1"/>
  <c r="AY4" i="18" s="1"/>
  <c r="AH4" i="18"/>
  <c r="AL4" i="18" s="1"/>
  <c r="AP4" i="18" s="1"/>
  <c r="AT4" i="18" s="1"/>
  <c r="AX4" i="18" s="1"/>
  <c r="AG4" i="18"/>
  <c r="AK4" i="18" s="1"/>
  <c r="AO4" i="18" s="1"/>
  <c r="AS4" i="18" s="1"/>
  <c r="AW4" i="18" s="1"/>
  <c r="J4" i="18"/>
  <c r="E4" i="18"/>
  <c r="I4" i="18" s="1"/>
  <c r="A4" i="18"/>
  <c r="AI3" i="18"/>
  <c r="AM3" i="18" s="1"/>
  <c r="AQ3" i="18" s="1"/>
  <c r="AU3" i="18" s="1"/>
  <c r="AY3" i="18" s="1"/>
  <c r="AH3" i="18"/>
  <c r="AL3" i="18" s="1"/>
  <c r="AP3" i="18" s="1"/>
  <c r="AT3" i="18" s="1"/>
  <c r="AX3" i="18" s="1"/>
  <c r="BB3" i="18" s="1"/>
  <c r="BF3" i="18" s="1"/>
  <c r="K3" i="18"/>
  <c r="J3" i="18"/>
  <c r="K15" i="1"/>
  <c r="A3" i="4"/>
  <c r="A3" i="3"/>
  <c r="AA11" i="11"/>
  <c r="E30" i="18" l="1"/>
  <c r="D30" i="18"/>
  <c r="H30" i="18"/>
  <c r="G30" i="18"/>
  <c r="F30" i="18"/>
  <c r="C31" i="18"/>
  <c r="D29" i="18"/>
  <c r="E29" i="18"/>
  <c r="F29" i="18"/>
  <c r="G29" i="18"/>
  <c r="H29" i="18"/>
  <c r="AH22" i="18"/>
  <c r="AL22" i="18" s="1"/>
  <c r="AL21" i="18"/>
  <c r="AP21" i="18" s="1"/>
  <c r="AT21" i="18" s="1"/>
  <c r="AX21" i="18" s="1"/>
  <c r="AG23" i="18"/>
  <c r="AK23" i="18" s="1"/>
  <c r="AK22" i="18"/>
  <c r="AO22" i="18" s="1"/>
  <c r="AS22" i="18" s="1"/>
  <c r="AW22" i="18" s="1"/>
  <c r="AL20" i="18"/>
  <c r="AP20" i="18" s="1"/>
  <c r="AT20" i="18" s="1"/>
  <c r="AX20" i="18" s="1"/>
  <c r="AK21" i="18"/>
  <c r="AO21" i="18" s="1"/>
  <c r="AS21" i="18" s="1"/>
  <c r="AW21" i="18" s="1"/>
  <c r="I15" i="1"/>
  <c r="I6" i="1"/>
  <c r="I7" i="1"/>
  <c r="I8" i="1"/>
  <c r="I9" i="1"/>
  <c r="I10" i="1"/>
  <c r="I11" i="1"/>
  <c r="I12" i="1"/>
  <c r="I13" i="1"/>
  <c r="I14" i="1"/>
  <c r="I5" i="1"/>
  <c r="I4" i="1"/>
  <c r="J15" i="1"/>
  <c r="J5" i="1"/>
  <c r="J6" i="1"/>
  <c r="J7" i="1"/>
  <c r="J8" i="1"/>
  <c r="J9" i="1"/>
  <c r="J10" i="1"/>
  <c r="J11" i="1"/>
  <c r="J12" i="1"/>
  <c r="J13" i="1"/>
  <c r="J14" i="1"/>
  <c r="J4" i="1"/>
  <c r="J3" i="1"/>
  <c r="K5" i="1"/>
  <c r="K6" i="1"/>
  <c r="K7" i="1"/>
  <c r="K8" i="1"/>
  <c r="K9" i="1"/>
  <c r="K10" i="1"/>
  <c r="K11" i="1"/>
  <c r="K12" i="1"/>
  <c r="K13" i="1"/>
  <c r="K14" i="1"/>
  <c r="K3" i="1"/>
  <c r="AL4" i="1"/>
  <c r="A3" i="15"/>
  <c r="C32" i="18" l="1"/>
  <c r="H31" i="18"/>
  <c r="G31" i="18"/>
  <c r="F31" i="18"/>
  <c r="E31" i="18"/>
  <c r="AO23" i="18"/>
  <c r="AS23" i="18" s="1"/>
  <c r="AW23" i="18" s="1"/>
  <c r="AK24" i="18"/>
  <c r="AO24" i="18" s="1"/>
  <c r="AS24" i="18" s="1"/>
  <c r="AW24" i="18" s="1"/>
  <c r="AP22" i="18"/>
  <c r="AT22" i="18" s="1"/>
  <c r="AX22" i="18" s="1"/>
  <c r="AL23" i="18"/>
  <c r="AP23" i="18" s="1"/>
  <c r="AW27" i="1"/>
  <c r="AW26" i="1"/>
  <c r="AX26" i="1"/>
  <c r="AX25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3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4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3" i="1"/>
  <c r="AS26" i="1"/>
  <c r="AT25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4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3" i="1"/>
  <c r="AO25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3" i="1"/>
  <c r="AP2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4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3" i="1"/>
  <c r="AK24" i="1"/>
  <c r="AL2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3" i="1"/>
  <c r="AL22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3" i="1"/>
  <c r="AH22" i="1"/>
  <c r="AH21" i="1"/>
  <c r="AG23" i="1"/>
  <c r="AG22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3" i="1"/>
  <c r="AG21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4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3" i="1"/>
  <c r="E32" i="18" l="1"/>
  <c r="D32" i="18"/>
  <c r="C33" i="18"/>
  <c r="G32" i="18"/>
  <c r="H32" i="18"/>
  <c r="F32" i="18"/>
  <c r="AP24" i="18"/>
  <c r="AT23" i="18"/>
  <c r="AX23" i="18" s="1"/>
  <c r="E15" i="1"/>
  <c r="E14" i="1"/>
  <c r="E13" i="1"/>
  <c r="E12" i="1"/>
  <c r="E11" i="1"/>
  <c r="E10" i="1"/>
  <c r="E9" i="1"/>
  <c r="E8" i="1"/>
  <c r="E7" i="1"/>
  <c r="E6" i="1"/>
  <c r="E5" i="1"/>
  <c r="E4" i="1"/>
  <c r="A15" i="1"/>
  <c r="A14" i="1"/>
  <c r="A13" i="1"/>
  <c r="A12" i="1"/>
  <c r="A11" i="1"/>
  <c r="A10" i="1"/>
  <c r="A9" i="1"/>
  <c r="A8" i="1"/>
  <c r="A7" i="1"/>
  <c r="A6" i="1"/>
  <c r="A5" i="1"/>
  <c r="A4" i="1"/>
  <c r="C34" i="18" l="1"/>
  <c r="H33" i="18"/>
  <c r="G33" i="18"/>
  <c r="F33" i="18"/>
  <c r="E33" i="18"/>
  <c r="D33" i="18"/>
  <c r="AT24" i="18"/>
  <c r="AO25" i="18"/>
  <c r="AS25" i="18" s="1"/>
  <c r="AW25" i="18" s="1"/>
  <c r="BB3" i="1"/>
  <c r="BF3" i="1" s="1"/>
  <c r="E34" i="18" l="1"/>
  <c r="D34" i="18"/>
  <c r="C35" i="18"/>
  <c r="H34" i="18"/>
  <c r="G34" i="18"/>
  <c r="F34" i="18"/>
  <c r="AT25" i="18"/>
  <c r="AX24" i="18"/>
  <c r="C36" i="18" l="1"/>
  <c r="H35" i="18"/>
  <c r="G35" i="18"/>
  <c r="F35" i="18"/>
  <c r="E35" i="18"/>
  <c r="D35" i="18"/>
  <c r="AS26" i="18"/>
  <c r="AW26" i="18" s="1"/>
  <c r="AX25" i="18"/>
  <c r="AX26" i="18" s="1"/>
  <c r="AW27" i="18" s="1"/>
  <c r="E36" i="18" l="1"/>
  <c r="D36" i="18"/>
  <c r="C37" i="18"/>
  <c r="G36" i="18"/>
  <c r="F36" i="18"/>
  <c r="H36" i="18"/>
  <c r="C38" i="18" l="1"/>
  <c r="H37" i="18"/>
  <c r="G37" i="18"/>
  <c r="F37" i="18"/>
  <c r="E37" i="18"/>
  <c r="D37" i="18"/>
  <c r="E38" i="18" l="1"/>
  <c r="D38" i="18"/>
  <c r="C39" i="18"/>
  <c r="F38" i="18"/>
  <c r="G38" i="18"/>
  <c r="H38" i="18"/>
  <c r="C40" i="18" l="1"/>
  <c r="H39" i="18"/>
  <c r="G39" i="18"/>
  <c r="F39" i="18"/>
  <c r="E39" i="18"/>
  <c r="D39" i="18"/>
  <c r="E40" i="18" l="1"/>
  <c r="D40" i="18"/>
  <c r="C41" i="18"/>
  <c r="G40" i="18"/>
  <c r="H40" i="18"/>
  <c r="F40" i="18"/>
  <c r="C42" i="18" l="1"/>
  <c r="H41" i="18"/>
  <c r="G41" i="18"/>
  <c r="F41" i="18"/>
  <c r="E41" i="18"/>
  <c r="D41" i="18"/>
  <c r="E42" i="18" l="1"/>
  <c r="D42" i="18"/>
  <c r="H42" i="18"/>
  <c r="F42" i="18"/>
  <c r="G42" i="18"/>
  <c r="C43" i="18"/>
  <c r="C44" i="18" l="1"/>
  <c r="H43" i="18"/>
  <c r="G43" i="18"/>
  <c r="F43" i="18"/>
  <c r="E43" i="18"/>
  <c r="D43" i="18"/>
  <c r="E44" i="18" l="1"/>
  <c r="D44" i="18"/>
  <c r="C45" i="18"/>
  <c r="G44" i="18"/>
  <c r="F44" i="18"/>
  <c r="H44" i="18"/>
  <c r="C46" i="18" l="1"/>
  <c r="H45" i="18"/>
  <c r="G45" i="18"/>
  <c r="F45" i="18"/>
  <c r="E45" i="18"/>
  <c r="D45" i="18"/>
  <c r="E46" i="18" l="1"/>
  <c r="D46" i="18"/>
  <c r="C47" i="18"/>
  <c r="F46" i="18"/>
  <c r="H46" i="18"/>
  <c r="G46" i="18"/>
  <c r="C48" i="18" l="1"/>
  <c r="H47" i="18"/>
  <c r="G47" i="18"/>
  <c r="F47" i="18"/>
  <c r="E47" i="18"/>
  <c r="D47" i="18"/>
  <c r="E48" i="18" l="1"/>
  <c r="D48" i="18"/>
  <c r="G48" i="18"/>
  <c r="C49" i="18"/>
  <c r="H48" i="18"/>
  <c r="F48" i="18"/>
  <c r="C50" i="18" l="1"/>
  <c r="H49" i="18"/>
  <c r="G49" i="18"/>
  <c r="F49" i="18"/>
  <c r="E49" i="18"/>
  <c r="D49" i="18"/>
  <c r="E50" i="18" l="1"/>
  <c r="D50" i="18"/>
  <c r="C51" i="18"/>
  <c r="G50" i="18"/>
  <c r="H50" i="18"/>
  <c r="F50" i="18"/>
  <c r="C52" i="18" l="1"/>
  <c r="H51" i="18"/>
  <c r="G51" i="18"/>
  <c r="F51" i="18"/>
  <c r="E51" i="18"/>
  <c r="D51" i="18"/>
  <c r="E52" i="18" l="1"/>
  <c r="D52" i="18"/>
  <c r="G52" i="18"/>
  <c r="F52" i="18"/>
  <c r="H52" i="18"/>
  <c r="C53" i="18"/>
  <c r="C54" i="18" l="1"/>
  <c r="H53" i="18"/>
  <c r="G53" i="18"/>
  <c r="F53" i="18"/>
  <c r="E53" i="18"/>
  <c r="H54" i="18" l="1"/>
  <c r="G54" i="18"/>
  <c r="F54" i="18"/>
  <c r="C55" i="18"/>
  <c r="H55" i="18" l="1"/>
  <c r="F55" i="18"/>
  <c r="C56" i="18"/>
  <c r="G55" i="18"/>
  <c r="C57" i="18" l="1"/>
  <c r="H56" i="18"/>
  <c r="G56" i="18"/>
  <c r="C58" i="18" l="1"/>
  <c r="H57" i="18"/>
  <c r="C59" i="18" l="1"/>
  <c r="C60" i="18" s="1"/>
  <c r="H5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Ramrirez</author>
  </authors>
  <commentList>
    <comment ref="B3" authorId="0" shapeId="0" xr:uid="{138587C7-BC8A-4890-BCE0-5627BF789076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F3" authorId="0" shapeId="0" xr:uid="{4A92608F-5461-44E0-8FD7-134634433C5A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A4" authorId="0" shapeId="0" xr:uid="{5717BBAA-7292-4A5A-AE2D-13FABB011557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E4" authorId="0" shapeId="0" xr:uid="{D7D63C1A-E284-413E-B902-A6A8398F8B40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K4" authorId="0" shapeId="0" xr:uid="{1BD1D879-FE15-4046-8171-CA4490A62AD5}">
      <text>
        <r>
          <rPr>
            <b/>
            <sz val="9"/>
            <color indexed="81"/>
            <rFont val="Tahoma"/>
            <family val="2"/>
          </rPr>
          <t>Edwar Ramrirez:</t>
        </r>
        <r>
          <rPr>
            <sz val="9"/>
            <color indexed="81"/>
            <rFont val="Tahoma"/>
            <family val="2"/>
          </rPr>
          <t xml:space="preserve">
Disminuye 0.5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Ramrirez</author>
  </authors>
  <commentList>
    <comment ref="B3" authorId="0" shapeId="0" xr:uid="{CF45C583-4C5A-46F1-BA6E-5A6F38CCD875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F3" authorId="0" shapeId="0" xr:uid="{70F2B8CE-EF56-4E2A-B800-070BBE93391B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Menor igual a este valor</t>
        </r>
      </text>
    </comment>
    <comment ref="A4" authorId="0" shapeId="0" xr:uid="{E35DF8A8-2F61-4B0C-999A-BA781FB9AA12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E4" authorId="0" shapeId="0" xr:uid="{505E5A3B-64FB-40E3-B6E1-7D48399BF91E}">
      <text>
        <r>
          <rPr>
            <b/>
            <sz val="9"/>
            <color indexed="81"/>
            <rFont val="Tahoma"/>
            <family val="2"/>
          </rPr>
          <t>Edward Ramrirez:</t>
        </r>
        <r>
          <rPr>
            <sz val="9"/>
            <color indexed="81"/>
            <rFont val="Tahoma"/>
            <family val="2"/>
          </rPr>
          <t xml:space="preserve">
Mayor que este valor</t>
        </r>
      </text>
    </comment>
    <comment ref="K4" authorId="0" shapeId="0" xr:uid="{2CD279CF-C6A3-4134-A1AE-4D6B92EE83B2}">
      <text>
        <r>
          <rPr>
            <b/>
            <sz val="9"/>
            <color indexed="81"/>
            <rFont val="Tahoma"/>
            <family val="2"/>
          </rPr>
          <t>Edwar Ramrirez:</t>
        </r>
        <r>
          <rPr>
            <sz val="9"/>
            <color indexed="81"/>
            <rFont val="Tahoma"/>
            <family val="2"/>
          </rPr>
          <t xml:space="preserve">
Disminuye 0.5</t>
        </r>
      </text>
    </comment>
  </commentList>
</comments>
</file>

<file path=xl/sharedStrings.xml><?xml version="1.0" encoding="utf-8"?>
<sst xmlns="http://schemas.openxmlformats.org/spreadsheetml/2006/main" count="329" uniqueCount="98">
  <si>
    <t>ValMin</t>
  </si>
  <si>
    <t>Unidades</t>
  </si>
  <si>
    <t>ValMax</t>
  </si>
  <si>
    <t>1300-1400 IPOEMP 2024</t>
  </si>
  <si>
    <t>1300-1400 Proyectado 2025</t>
  </si>
  <si>
    <t>1500 Proyectado 2026</t>
  </si>
  <si>
    <t>1650 Proyectado 2027</t>
  </si>
  <si>
    <t>1650 Proyectado 2028</t>
  </si>
  <si>
    <t>1650 Proyectado 2029</t>
  </si>
  <si>
    <t>1650 Proyectado 2030</t>
  </si>
  <si>
    <t>1650 Proyectado 2031</t>
  </si>
  <si>
    <t>1650 Proyectado 2032</t>
  </si>
  <si>
    <t>ValMin25</t>
  </si>
  <si>
    <t>ValMax26</t>
  </si>
  <si>
    <t>ValMax25</t>
  </si>
  <si>
    <t>Unidades25</t>
  </si>
  <si>
    <t>ValMin26</t>
  </si>
  <si>
    <t>Unidades26</t>
  </si>
  <si>
    <t>ValMin27</t>
  </si>
  <si>
    <t>ValMax27</t>
  </si>
  <si>
    <t>Unidades27</t>
  </si>
  <si>
    <t>ValMin28</t>
  </si>
  <si>
    <t>ValMax28</t>
  </si>
  <si>
    <t>Unidades28</t>
  </si>
  <si>
    <t>ValMin29</t>
  </si>
  <si>
    <t>ValMax29</t>
  </si>
  <si>
    <t>Unidades29</t>
  </si>
  <si>
    <t>ValMin30</t>
  </si>
  <si>
    <t>ValMax30</t>
  </si>
  <si>
    <t>Unidades30</t>
  </si>
  <si>
    <t>ValMin31</t>
  </si>
  <si>
    <t>ValMax31</t>
  </si>
  <si>
    <t>Unidades31</t>
  </si>
  <si>
    <t>ValMin32</t>
  </si>
  <si>
    <t>ValMax32</t>
  </si>
  <si>
    <t>Unidades32</t>
  </si>
  <si>
    <t>TipoDia</t>
  </si>
  <si>
    <t>FechaIni</t>
  </si>
  <si>
    <t>FechaFin</t>
  </si>
  <si>
    <t>LimImpArea</t>
  </si>
  <si>
    <t>Hoja</t>
  </si>
  <si>
    <t>Caribe</t>
  </si>
  <si>
    <t>Caribe2</t>
  </si>
  <si>
    <t>Elemento</t>
  </si>
  <si>
    <t>MinGen</t>
  </si>
  <si>
    <t>TERMONORTE</t>
  </si>
  <si>
    <t>PROELECTRICA_2</t>
  </si>
  <si>
    <t>TERMOCANDELARIA_CC</t>
  </si>
  <si>
    <t>GUAJIRA_1</t>
  </si>
  <si>
    <t>GUAJIRA_2</t>
  </si>
  <si>
    <t>ZonaReqUE</t>
  </si>
  <si>
    <t>Z_Bol</t>
  </si>
  <si>
    <t>Z_GCM</t>
  </si>
  <si>
    <t>Z_Res_Car2</t>
  </si>
  <si>
    <t>O</t>
  </si>
  <si>
    <t>S</t>
  </si>
  <si>
    <t>F</t>
  </si>
  <si>
    <t>1650 Proyectado 2034</t>
  </si>
  <si>
    <t>1650 Proyectado 2036</t>
  </si>
  <si>
    <t>1650 Proyectado 2042</t>
  </si>
  <si>
    <t>1650 Proyectado 2044</t>
  </si>
  <si>
    <t>ValMin34</t>
  </si>
  <si>
    <t>ValMax34</t>
  </si>
  <si>
    <t>Unidades34</t>
  </si>
  <si>
    <t>ValMin36</t>
  </si>
  <si>
    <t>ValMax36</t>
  </si>
  <si>
    <t>Unidades36</t>
  </si>
  <si>
    <t>ValMin42</t>
  </si>
  <si>
    <t>ValMax42</t>
  </si>
  <si>
    <t>Unidades42</t>
  </si>
  <si>
    <t>ValMin44</t>
  </si>
  <si>
    <t>ValMax44</t>
  </si>
  <si>
    <t>Unidades44</t>
  </si>
  <si>
    <t>PROELECTRICA_1</t>
  </si>
  <si>
    <t>Z_Res_Car</t>
  </si>
  <si>
    <t>ZS_GCM</t>
  </si>
  <si>
    <t xml:space="preserve"> UN</t>
  </si>
  <si>
    <t>ValMin24</t>
  </si>
  <si>
    <t>ValMax24</t>
  </si>
  <si>
    <t>Unidades24</t>
  </si>
  <si>
    <t>Demanda</t>
  </si>
  <si>
    <t>Area Caribe2</t>
  </si>
  <si>
    <t>1650 Proyectado 2033</t>
  </si>
  <si>
    <t>ValMin33</t>
  </si>
  <si>
    <t>ValMax33</t>
  </si>
  <si>
    <t>Unidades33</t>
  </si>
  <si>
    <t>1650 Proyectado 2035</t>
  </si>
  <si>
    <t>ValMin35</t>
  </si>
  <si>
    <t>ValMax35</t>
  </si>
  <si>
    <t>Unidades35</t>
  </si>
  <si>
    <t>Caribe 2</t>
  </si>
  <si>
    <t>GCM</t>
  </si>
  <si>
    <t>ValMinC2</t>
  </si>
  <si>
    <t>ValMaxC2</t>
  </si>
  <si>
    <t>UnidadesC2</t>
  </si>
  <si>
    <t>ValMinGCM</t>
  </si>
  <si>
    <t>ValMaxGCM</t>
  </si>
  <si>
    <t>UnidadesGCM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</si>
</sst>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Gráfica_Caribe2!$D$27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Gráfica_Caribe2!$C$28:$C$60</c:f>
              <c:numCache>
                <c:formatCode>General</c:formatCode>
                <c:ptCount val="33"/>
                <c:pt idx="0">
                  <c:v>1665</c:v>
                </c:pt>
                <c:pt idx="1">
                  <c:v>1715</c:v>
                </c:pt>
                <c:pt idx="2">
                  <c:v>1765</c:v>
                </c:pt>
                <c:pt idx="3">
                  <c:v>1815</c:v>
                </c:pt>
                <c:pt idx="4">
                  <c:v>1865</c:v>
                </c:pt>
                <c:pt idx="5">
                  <c:v>1915</c:v>
                </c:pt>
                <c:pt idx="6">
                  <c:v>1965</c:v>
                </c:pt>
                <c:pt idx="7">
                  <c:v>2015</c:v>
                </c:pt>
                <c:pt idx="8">
                  <c:v>2065</c:v>
                </c:pt>
                <c:pt idx="9">
                  <c:v>2115</c:v>
                </c:pt>
                <c:pt idx="10">
                  <c:v>2165</c:v>
                </c:pt>
                <c:pt idx="11">
                  <c:v>2215</c:v>
                </c:pt>
                <c:pt idx="12">
                  <c:v>2265</c:v>
                </c:pt>
                <c:pt idx="13">
                  <c:v>2315</c:v>
                </c:pt>
                <c:pt idx="14">
                  <c:v>2365</c:v>
                </c:pt>
                <c:pt idx="15">
                  <c:v>2415</c:v>
                </c:pt>
                <c:pt idx="16">
                  <c:v>2465</c:v>
                </c:pt>
                <c:pt idx="17">
                  <c:v>2515</c:v>
                </c:pt>
                <c:pt idx="18">
                  <c:v>2565</c:v>
                </c:pt>
                <c:pt idx="19">
                  <c:v>2615</c:v>
                </c:pt>
                <c:pt idx="20">
                  <c:v>2665</c:v>
                </c:pt>
                <c:pt idx="21">
                  <c:v>2715</c:v>
                </c:pt>
                <c:pt idx="22">
                  <c:v>2765</c:v>
                </c:pt>
                <c:pt idx="23">
                  <c:v>2815</c:v>
                </c:pt>
                <c:pt idx="24">
                  <c:v>2865</c:v>
                </c:pt>
                <c:pt idx="25">
                  <c:v>2915</c:v>
                </c:pt>
                <c:pt idx="26">
                  <c:v>2965</c:v>
                </c:pt>
                <c:pt idx="27">
                  <c:v>3015</c:v>
                </c:pt>
                <c:pt idx="28">
                  <c:v>3065</c:v>
                </c:pt>
                <c:pt idx="29">
                  <c:v>3115</c:v>
                </c:pt>
                <c:pt idx="30">
                  <c:v>3165</c:v>
                </c:pt>
                <c:pt idx="31">
                  <c:v>3215</c:v>
                </c:pt>
                <c:pt idx="32">
                  <c:v>3265</c:v>
                </c:pt>
              </c:numCache>
            </c:numRef>
          </c:cat>
          <c:val>
            <c:numRef>
              <c:f>Gráfica_Caribe2!$D$28:$D$60</c:f>
              <c:numCache>
                <c:formatCode>General</c:formatCode>
                <c:ptCount val="33"/>
                <c:pt idx="0">
                  <c:v>0</c:v>
                </c:pt>
                <c:pt idx="1">
                  <c:v>1.5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2.5</c:v>
                </c:pt>
                <c:pt idx="6">
                  <c:v>3.5</c:v>
                </c:pt>
                <c:pt idx="7">
                  <c:v>3.5</c:v>
                </c:pt>
                <c:pt idx="8">
                  <c:v>4.5</c:v>
                </c:pt>
                <c:pt idx="9">
                  <c:v>4.5</c:v>
                </c:pt>
                <c:pt idx="10">
                  <c:v>5.5</c:v>
                </c:pt>
                <c:pt idx="11">
                  <c:v>5.5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10</c:v>
                </c:pt>
                <c:pt idx="21">
                  <c:v>10.5</c:v>
                </c:pt>
                <c:pt idx="22">
                  <c:v>10.5</c:v>
                </c:pt>
                <c:pt idx="23">
                  <c:v>11</c:v>
                </c:pt>
                <c:pt idx="2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F-4BE6-8AFC-B563E8BB9D49}"/>
            </c:ext>
          </c:extLst>
        </c:ser>
        <c:ser>
          <c:idx val="1"/>
          <c:order val="1"/>
          <c:tx>
            <c:strRef>
              <c:f>Gráfica_Caribe2!$E$27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Gráfica_Caribe2!$C$28:$C$60</c:f>
              <c:numCache>
                <c:formatCode>General</c:formatCode>
                <c:ptCount val="33"/>
                <c:pt idx="0">
                  <c:v>1665</c:v>
                </c:pt>
                <c:pt idx="1">
                  <c:v>1715</c:v>
                </c:pt>
                <c:pt idx="2">
                  <c:v>1765</c:v>
                </c:pt>
                <c:pt idx="3">
                  <c:v>1815</c:v>
                </c:pt>
                <c:pt idx="4">
                  <c:v>1865</c:v>
                </c:pt>
                <c:pt idx="5">
                  <c:v>1915</c:v>
                </c:pt>
                <c:pt idx="6">
                  <c:v>1965</c:v>
                </c:pt>
                <c:pt idx="7">
                  <c:v>2015</c:v>
                </c:pt>
                <c:pt idx="8">
                  <c:v>2065</c:v>
                </c:pt>
                <c:pt idx="9">
                  <c:v>2115</c:v>
                </c:pt>
                <c:pt idx="10">
                  <c:v>2165</c:v>
                </c:pt>
                <c:pt idx="11">
                  <c:v>2215</c:v>
                </c:pt>
                <c:pt idx="12">
                  <c:v>2265</c:v>
                </c:pt>
                <c:pt idx="13">
                  <c:v>2315</c:v>
                </c:pt>
                <c:pt idx="14">
                  <c:v>2365</c:v>
                </c:pt>
                <c:pt idx="15">
                  <c:v>2415</c:v>
                </c:pt>
                <c:pt idx="16">
                  <c:v>2465</c:v>
                </c:pt>
                <c:pt idx="17">
                  <c:v>2515</c:v>
                </c:pt>
                <c:pt idx="18">
                  <c:v>2565</c:v>
                </c:pt>
                <c:pt idx="19">
                  <c:v>2615</c:v>
                </c:pt>
                <c:pt idx="20">
                  <c:v>2665</c:v>
                </c:pt>
                <c:pt idx="21">
                  <c:v>2715</c:v>
                </c:pt>
                <c:pt idx="22">
                  <c:v>2765</c:v>
                </c:pt>
                <c:pt idx="23">
                  <c:v>2815</c:v>
                </c:pt>
                <c:pt idx="24">
                  <c:v>2865</c:v>
                </c:pt>
                <c:pt idx="25">
                  <c:v>2915</c:v>
                </c:pt>
                <c:pt idx="26">
                  <c:v>2965</c:v>
                </c:pt>
                <c:pt idx="27">
                  <c:v>3015</c:v>
                </c:pt>
                <c:pt idx="28">
                  <c:v>3065</c:v>
                </c:pt>
                <c:pt idx="29">
                  <c:v>3115</c:v>
                </c:pt>
                <c:pt idx="30">
                  <c:v>3165</c:v>
                </c:pt>
                <c:pt idx="31">
                  <c:v>3215</c:v>
                </c:pt>
                <c:pt idx="32">
                  <c:v>3265</c:v>
                </c:pt>
              </c:numCache>
            </c:numRef>
          </c:cat>
          <c:val>
            <c:numRef>
              <c:f>Gráfica_Caribe2!$E$28:$E$60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</c:v>
                </c:pt>
                <c:pt idx="8">
                  <c:v>3.5</c:v>
                </c:pt>
                <c:pt idx="9">
                  <c:v>3.5</c:v>
                </c:pt>
                <c:pt idx="10">
                  <c:v>4.5</c:v>
                </c:pt>
                <c:pt idx="11">
                  <c:v>4.5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6.5</c:v>
                </c:pt>
                <c:pt idx="16">
                  <c:v>6.5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8</c:v>
                </c:pt>
                <c:pt idx="21">
                  <c:v>8.5</c:v>
                </c:pt>
                <c:pt idx="22">
                  <c:v>8.5</c:v>
                </c:pt>
                <c:pt idx="23">
                  <c:v>9</c:v>
                </c:pt>
                <c:pt idx="24">
                  <c:v>9.5</c:v>
                </c:pt>
                <c:pt idx="25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F-4BE6-8AFC-B563E8BB9D49}"/>
            </c:ext>
          </c:extLst>
        </c:ser>
        <c:ser>
          <c:idx val="2"/>
          <c:order val="2"/>
          <c:tx>
            <c:strRef>
              <c:f>Gráfica_Caribe2!$F$27</c:f>
              <c:strCache>
                <c:ptCount val="1"/>
                <c:pt idx="0">
                  <c:v>2029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Gráfica_Caribe2!$C$28:$C$60</c:f>
              <c:numCache>
                <c:formatCode>General</c:formatCode>
                <c:ptCount val="33"/>
                <c:pt idx="0">
                  <c:v>1665</c:v>
                </c:pt>
                <c:pt idx="1">
                  <c:v>1715</c:v>
                </c:pt>
                <c:pt idx="2">
                  <c:v>1765</c:v>
                </c:pt>
                <c:pt idx="3">
                  <c:v>1815</c:v>
                </c:pt>
                <c:pt idx="4">
                  <c:v>1865</c:v>
                </c:pt>
                <c:pt idx="5">
                  <c:v>1915</c:v>
                </c:pt>
                <c:pt idx="6">
                  <c:v>1965</c:v>
                </c:pt>
                <c:pt idx="7">
                  <c:v>2015</c:v>
                </c:pt>
                <c:pt idx="8">
                  <c:v>2065</c:v>
                </c:pt>
                <c:pt idx="9">
                  <c:v>2115</c:v>
                </c:pt>
                <c:pt idx="10">
                  <c:v>2165</c:v>
                </c:pt>
                <c:pt idx="11">
                  <c:v>2215</c:v>
                </c:pt>
                <c:pt idx="12">
                  <c:v>2265</c:v>
                </c:pt>
                <c:pt idx="13">
                  <c:v>2315</c:v>
                </c:pt>
                <c:pt idx="14">
                  <c:v>2365</c:v>
                </c:pt>
                <c:pt idx="15">
                  <c:v>2415</c:v>
                </c:pt>
                <c:pt idx="16">
                  <c:v>2465</c:v>
                </c:pt>
                <c:pt idx="17">
                  <c:v>2515</c:v>
                </c:pt>
                <c:pt idx="18">
                  <c:v>2565</c:v>
                </c:pt>
                <c:pt idx="19">
                  <c:v>2615</c:v>
                </c:pt>
                <c:pt idx="20">
                  <c:v>2665</c:v>
                </c:pt>
                <c:pt idx="21">
                  <c:v>2715</c:v>
                </c:pt>
                <c:pt idx="22">
                  <c:v>2765</c:v>
                </c:pt>
                <c:pt idx="23">
                  <c:v>2815</c:v>
                </c:pt>
                <c:pt idx="24">
                  <c:v>2865</c:v>
                </c:pt>
                <c:pt idx="25">
                  <c:v>2915</c:v>
                </c:pt>
                <c:pt idx="26">
                  <c:v>2965</c:v>
                </c:pt>
                <c:pt idx="27">
                  <c:v>3015</c:v>
                </c:pt>
                <c:pt idx="28">
                  <c:v>3065</c:v>
                </c:pt>
                <c:pt idx="29">
                  <c:v>3115</c:v>
                </c:pt>
                <c:pt idx="30">
                  <c:v>3165</c:v>
                </c:pt>
                <c:pt idx="31">
                  <c:v>3215</c:v>
                </c:pt>
                <c:pt idx="32">
                  <c:v>3265</c:v>
                </c:pt>
              </c:numCache>
            </c:numRef>
          </c:cat>
          <c:val>
            <c:numRef>
              <c:f>Gráfica_Caribe2!$F$28:$F$60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1.7999999999999998</c:v>
                </c:pt>
                <c:pt idx="6">
                  <c:v>1.7999999999999998</c:v>
                </c:pt>
                <c:pt idx="7">
                  <c:v>2.5</c:v>
                </c:pt>
                <c:pt idx="8">
                  <c:v>3</c:v>
                </c:pt>
                <c:pt idx="9">
                  <c:v>3</c:v>
                </c:pt>
                <c:pt idx="10">
                  <c:v>3.5</c:v>
                </c:pt>
                <c:pt idx="11">
                  <c:v>3.5</c:v>
                </c:pt>
                <c:pt idx="12">
                  <c:v>4.5</c:v>
                </c:pt>
                <c:pt idx="13">
                  <c:v>4.5</c:v>
                </c:pt>
                <c:pt idx="14">
                  <c:v>5.5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6.5</c:v>
                </c:pt>
                <c:pt idx="19">
                  <c:v>7</c:v>
                </c:pt>
                <c:pt idx="20">
                  <c:v>7</c:v>
                </c:pt>
                <c:pt idx="21">
                  <c:v>7.5</c:v>
                </c:pt>
                <c:pt idx="22">
                  <c:v>7.5</c:v>
                </c:pt>
                <c:pt idx="23">
                  <c:v>8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F-4BE6-8AFC-B563E8BB9D49}"/>
            </c:ext>
          </c:extLst>
        </c:ser>
        <c:ser>
          <c:idx val="3"/>
          <c:order val="3"/>
          <c:tx>
            <c:strRef>
              <c:f>Gráfica_Caribe2!$G$27</c:f>
              <c:strCache>
                <c:ptCount val="1"/>
                <c:pt idx="0">
                  <c:v>2030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Gráfica_Caribe2!$C$28:$C$60</c:f>
              <c:numCache>
                <c:formatCode>General</c:formatCode>
                <c:ptCount val="33"/>
                <c:pt idx="0">
                  <c:v>1665</c:v>
                </c:pt>
                <c:pt idx="1">
                  <c:v>1715</c:v>
                </c:pt>
                <c:pt idx="2">
                  <c:v>1765</c:v>
                </c:pt>
                <c:pt idx="3">
                  <c:v>1815</c:v>
                </c:pt>
                <c:pt idx="4">
                  <c:v>1865</c:v>
                </c:pt>
                <c:pt idx="5">
                  <c:v>1915</c:v>
                </c:pt>
                <c:pt idx="6">
                  <c:v>1965</c:v>
                </c:pt>
                <c:pt idx="7">
                  <c:v>2015</c:v>
                </c:pt>
                <c:pt idx="8">
                  <c:v>2065</c:v>
                </c:pt>
                <c:pt idx="9">
                  <c:v>2115</c:v>
                </c:pt>
                <c:pt idx="10">
                  <c:v>2165</c:v>
                </c:pt>
                <c:pt idx="11">
                  <c:v>2215</c:v>
                </c:pt>
                <c:pt idx="12">
                  <c:v>2265</c:v>
                </c:pt>
                <c:pt idx="13">
                  <c:v>2315</c:v>
                </c:pt>
                <c:pt idx="14">
                  <c:v>2365</c:v>
                </c:pt>
                <c:pt idx="15">
                  <c:v>2415</c:v>
                </c:pt>
                <c:pt idx="16">
                  <c:v>2465</c:v>
                </c:pt>
                <c:pt idx="17">
                  <c:v>2515</c:v>
                </c:pt>
                <c:pt idx="18">
                  <c:v>2565</c:v>
                </c:pt>
                <c:pt idx="19">
                  <c:v>2615</c:v>
                </c:pt>
                <c:pt idx="20">
                  <c:v>2665</c:v>
                </c:pt>
                <c:pt idx="21">
                  <c:v>2715</c:v>
                </c:pt>
                <c:pt idx="22">
                  <c:v>2765</c:v>
                </c:pt>
                <c:pt idx="23">
                  <c:v>2815</c:v>
                </c:pt>
                <c:pt idx="24">
                  <c:v>2865</c:v>
                </c:pt>
                <c:pt idx="25">
                  <c:v>2915</c:v>
                </c:pt>
                <c:pt idx="26">
                  <c:v>2965</c:v>
                </c:pt>
                <c:pt idx="27">
                  <c:v>3015</c:v>
                </c:pt>
                <c:pt idx="28">
                  <c:v>3065</c:v>
                </c:pt>
                <c:pt idx="29">
                  <c:v>3115</c:v>
                </c:pt>
                <c:pt idx="30">
                  <c:v>3165</c:v>
                </c:pt>
                <c:pt idx="31">
                  <c:v>3215</c:v>
                </c:pt>
                <c:pt idx="32">
                  <c:v>3265</c:v>
                </c:pt>
              </c:numCache>
            </c:numRef>
          </c:cat>
          <c:val>
            <c:numRef>
              <c:f>Gráfica_Caribe2!$G$28:$G$60</c:f>
              <c:numCache>
                <c:formatCode>General</c:formatCode>
                <c:ptCount val="3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1.5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4.5</c:v>
                </c:pt>
                <c:pt idx="13">
                  <c:v>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</c:v>
                </c:pt>
                <c:pt idx="18">
                  <c:v>6.5</c:v>
                </c:pt>
                <c:pt idx="19">
                  <c:v>6.5</c:v>
                </c:pt>
                <c:pt idx="20">
                  <c:v>7</c:v>
                </c:pt>
                <c:pt idx="21">
                  <c:v>7.5</c:v>
                </c:pt>
                <c:pt idx="22">
                  <c:v>7.5</c:v>
                </c:pt>
                <c:pt idx="23">
                  <c:v>8</c:v>
                </c:pt>
                <c:pt idx="24">
                  <c:v>8.5</c:v>
                </c:pt>
                <c:pt idx="25">
                  <c:v>8.5</c:v>
                </c:pt>
                <c:pt idx="26">
                  <c:v>9</c:v>
                </c:pt>
                <c:pt idx="27">
                  <c:v>9</c:v>
                </c:pt>
                <c:pt idx="28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FF-4BE6-8AFC-B563E8BB9D49}"/>
            </c:ext>
          </c:extLst>
        </c:ser>
        <c:ser>
          <c:idx val="4"/>
          <c:order val="4"/>
          <c:tx>
            <c:strRef>
              <c:f>Gráfica_Caribe2!$H$27</c:f>
              <c:strCache>
                <c:ptCount val="1"/>
                <c:pt idx="0">
                  <c:v>2031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Gráfica_Caribe2!$C$28:$C$60</c:f>
              <c:numCache>
                <c:formatCode>General</c:formatCode>
                <c:ptCount val="33"/>
                <c:pt idx="0">
                  <c:v>1665</c:v>
                </c:pt>
                <c:pt idx="1">
                  <c:v>1715</c:v>
                </c:pt>
                <c:pt idx="2">
                  <c:v>1765</c:v>
                </c:pt>
                <c:pt idx="3">
                  <c:v>1815</c:v>
                </c:pt>
                <c:pt idx="4">
                  <c:v>1865</c:v>
                </c:pt>
                <c:pt idx="5">
                  <c:v>1915</c:v>
                </c:pt>
                <c:pt idx="6">
                  <c:v>1965</c:v>
                </c:pt>
                <c:pt idx="7">
                  <c:v>2015</c:v>
                </c:pt>
                <c:pt idx="8">
                  <c:v>2065</c:v>
                </c:pt>
                <c:pt idx="9">
                  <c:v>2115</c:v>
                </c:pt>
                <c:pt idx="10">
                  <c:v>2165</c:v>
                </c:pt>
                <c:pt idx="11">
                  <c:v>2215</c:v>
                </c:pt>
                <c:pt idx="12">
                  <c:v>2265</c:v>
                </c:pt>
                <c:pt idx="13">
                  <c:v>2315</c:v>
                </c:pt>
                <c:pt idx="14">
                  <c:v>2365</c:v>
                </c:pt>
                <c:pt idx="15">
                  <c:v>2415</c:v>
                </c:pt>
                <c:pt idx="16">
                  <c:v>2465</c:v>
                </c:pt>
                <c:pt idx="17">
                  <c:v>2515</c:v>
                </c:pt>
                <c:pt idx="18">
                  <c:v>2565</c:v>
                </c:pt>
                <c:pt idx="19">
                  <c:v>2615</c:v>
                </c:pt>
                <c:pt idx="20">
                  <c:v>2665</c:v>
                </c:pt>
                <c:pt idx="21">
                  <c:v>2715</c:v>
                </c:pt>
                <c:pt idx="22">
                  <c:v>2765</c:v>
                </c:pt>
                <c:pt idx="23">
                  <c:v>2815</c:v>
                </c:pt>
                <c:pt idx="24">
                  <c:v>2865</c:v>
                </c:pt>
                <c:pt idx="25">
                  <c:v>2915</c:v>
                </c:pt>
                <c:pt idx="26">
                  <c:v>2965</c:v>
                </c:pt>
                <c:pt idx="27">
                  <c:v>3015</c:v>
                </c:pt>
                <c:pt idx="28">
                  <c:v>3065</c:v>
                </c:pt>
                <c:pt idx="29">
                  <c:v>3115</c:v>
                </c:pt>
                <c:pt idx="30">
                  <c:v>3165</c:v>
                </c:pt>
                <c:pt idx="31">
                  <c:v>3215</c:v>
                </c:pt>
                <c:pt idx="32">
                  <c:v>3265</c:v>
                </c:pt>
              </c:numCache>
            </c:numRef>
          </c:cat>
          <c:val>
            <c:numRef>
              <c:f>Gráfica_Caribe2!$H$28:$H$60</c:f>
              <c:numCache>
                <c:formatCode>General</c:formatCode>
                <c:ptCount val="3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1.5</c:v>
                </c:pt>
                <c:pt idx="7">
                  <c:v>2</c:v>
                </c:pt>
                <c:pt idx="8">
                  <c:v>2</c:v>
                </c:pt>
                <c:pt idx="9">
                  <c:v>3.5</c:v>
                </c:pt>
                <c:pt idx="10">
                  <c:v>4</c:v>
                </c:pt>
                <c:pt idx="11">
                  <c:v>4</c:v>
                </c:pt>
                <c:pt idx="12">
                  <c:v>4.5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5.5</c:v>
                </c:pt>
                <c:pt idx="17">
                  <c:v>6</c:v>
                </c:pt>
                <c:pt idx="18">
                  <c:v>6.5</c:v>
                </c:pt>
                <c:pt idx="19">
                  <c:v>6.5</c:v>
                </c:pt>
                <c:pt idx="20">
                  <c:v>7</c:v>
                </c:pt>
                <c:pt idx="21">
                  <c:v>7</c:v>
                </c:pt>
                <c:pt idx="22">
                  <c:v>7.5</c:v>
                </c:pt>
                <c:pt idx="23">
                  <c:v>8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</c:v>
                </c:pt>
                <c:pt idx="28">
                  <c:v>9.5</c:v>
                </c:pt>
                <c:pt idx="29">
                  <c:v>9.5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FF-4BE6-8AFC-B563E8BB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470464"/>
        <c:axId val="1459463264"/>
      </c:lineChart>
      <c:catAx>
        <c:axId val="14594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59463264"/>
        <c:crosses val="autoZero"/>
        <c:auto val="1"/>
        <c:lblAlgn val="ctr"/>
        <c:lblOffset val="100"/>
        <c:noMultiLvlLbl val="0"/>
      </c:catAx>
      <c:valAx>
        <c:axId val="14594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5947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30</xdr:row>
      <xdr:rowOff>14287</xdr:rowOff>
    </xdr:from>
    <xdr:to>
      <xdr:col>18</xdr:col>
      <xdr:colOff>438150</xdr:colOff>
      <xdr:row>54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AB1424-B6FF-7BDD-B73C-0AB4A2BA4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2AD2-FF4E-4302-8F6A-E015BF754080}">
  <sheetPr codeName="Hoja1"/>
  <dimension ref="A1:BG43"/>
  <sheetViews>
    <sheetView tabSelected="1" workbookViewId="0">
      <selection activeCell="H7" sqref="H7"/>
    </sheetView>
  </sheetViews>
  <sheetFormatPr baseColWidth="10" defaultRowHeight="15" x14ac:dyDescent="0.25"/>
  <cols>
    <col min="5" max="5" width="13" customWidth="1"/>
    <col min="6" max="6" width="12.140625" customWidth="1"/>
    <col min="7" max="7" width="17.85546875" customWidth="1"/>
    <col min="11" max="11" width="18" customWidth="1"/>
  </cols>
  <sheetData>
    <row r="1" spans="1:59" x14ac:dyDescent="0.25">
      <c r="A1" s="11" t="s">
        <v>3</v>
      </c>
      <c r="B1" s="11"/>
      <c r="C1" s="11"/>
      <c r="E1" s="11" t="s">
        <v>4</v>
      </c>
      <c r="F1" s="11"/>
      <c r="G1" s="11"/>
      <c r="I1" s="11" t="s">
        <v>5</v>
      </c>
      <c r="J1" s="11"/>
      <c r="K1" s="11"/>
      <c r="M1" s="11" t="s">
        <v>6</v>
      </c>
      <c r="N1" s="11"/>
      <c r="O1" s="11"/>
      <c r="Q1" s="11" t="s">
        <v>7</v>
      </c>
      <c r="R1" s="11"/>
      <c r="S1" s="11"/>
      <c r="U1" s="11" t="s">
        <v>8</v>
      </c>
      <c r="V1" s="11"/>
      <c r="W1" s="11"/>
      <c r="Y1" s="11" t="s">
        <v>9</v>
      </c>
      <c r="Z1" s="11"/>
      <c r="AA1" s="11"/>
      <c r="AC1" s="11" t="s">
        <v>10</v>
      </c>
      <c r="AD1" s="11"/>
      <c r="AE1" s="11"/>
      <c r="AG1" s="11" t="s">
        <v>11</v>
      </c>
      <c r="AH1" s="11"/>
      <c r="AI1" s="11"/>
      <c r="AK1" s="11" t="s">
        <v>82</v>
      </c>
      <c r="AL1" s="11"/>
      <c r="AM1" s="11"/>
      <c r="AO1" s="11" t="s">
        <v>57</v>
      </c>
      <c r="AP1" s="11"/>
      <c r="AQ1" s="11"/>
      <c r="AS1" s="11" t="s">
        <v>86</v>
      </c>
      <c r="AT1" s="11"/>
      <c r="AU1" s="11"/>
      <c r="AW1" s="11" t="s">
        <v>58</v>
      </c>
      <c r="AX1" s="11"/>
      <c r="AY1" s="11"/>
      <c r="BA1" s="11" t="s">
        <v>59</v>
      </c>
      <c r="BB1" s="11"/>
      <c r="BC1" s="11"/>
      <c r="BE1" s="11" t="s">
        <v>60</v>
      </c>
      <c r="BF1" s="11"/>
      <c r="BG1" s="11"/>
    </row>
    <row r="2" spans="1:59" x14ac:dyDescent="0.25">
      <c r="A2" s="1" t="s">
        <v>77</v>
      </c>
      <c r="B2" s="1" t="s">
        <v>78</v>
      </c>
      <c r="C2" s="1" t="s">
        <v>79</v>
      </c>
      <c r="E2" s="1" t="s">
        <v>12</v>
      </c>
      <c r="F2" s="1" t="s">
        <v>14</v>
      </c>
      <c r="G2" s="1" t="s">
        <v>15</v>
      </c>
      <c r="I2" s="1" t="s">
        <v>16</v>
      </c>
      <c r="J2" s="1" t="s">
        <v>13</v>
      </c>
      <c r="K2" s="1" t="s">
        <v>17</v>
      </c>
      <c r="M2" s="1" t="s">
        <v>18</v>
      </c>
      <c r="N2" s="1" t="s">
        <v>19</v>
      </c>
      <c r="O2" s="1" t="s">
        <v>20</v>
      </c>
      <c r="Q2" s="1" t="s">
        <v>21</v>
      </c>
      <c r="R2" s="1" t="s">
        <v>22</v>
      </c>
      <c r="S2" s="1" t="s">
        <v>23</v>
      </c>
      <c r="U2" s="1" t="s">
        <v>24</v>
      </c>
      <c r="V2" s="1" t="s">
        <v>25</v>
      </c>
      <c r="W2" s="1" t="s">
        <v>26</v>
      </c>
      <c r="Y2" s="1" t="s">
        <v>27</v>
      </c>
      <c r="Z2" s="1" t="s">
        <v>28</v>
      </c>
      <c r="AA2" s="1" t="s">
        <v>29</v>
      </c>
      <c r="AC2" s="1" t="s">
        <v>30</v>
      </c>
      <c r="AD2" s="1" t="s">
        <v>31</v>
      </c>
      <c r="AE2" s="1" t="s">
        <v>32</v>
      </c>
      <c r="AG2" s="1" t="s">
        <v>33</v>
      </c>
      <c r="AH2" s="1" t="s">
        <v>34</v>
      </c>
      <c r="AI2" s="1" t="s">
        <v>35</v>
      </c>
      <c r="AK2" s="1" t="s">
        <v>83</v>
      </c>
      <c r="AL2" s="1" t="s">
        <v>84</v>
      </c>
      <c r="AM2" s="1" t="s">
        <v>85</v>
      </c>
      <c r="AO2" s="1" t="s">
        <v>61</v>
      </c>
      <c r="AP2" s="1" t="s">
        <v>62</v>
      </c>
      <c r="AQ2" s="1" t="s">
        <v>63</v>
      </c>
      <c r="AS2" s="1" t="s">
        <v>87</v>
      </c>
      <c r="AT2" s="1" t="s">
        <v>88</v>
      </c>
      <c r="AU2" s="1" t="s">
        <v>89</v>
      </c>
      <c r="AW2" s="1" t="s">
        <v>64</v>
      </c>
      <c r="AX2" s="1" t="s">
        <v>65</v>
      </c>
      <c r="AY2" s="1" t="s">
        <v>66</v>
      </c>
      <c r="BA2" s="1" t="s">
        <v>67</v>
      </c>
      <c r="BB2" s="1" t="s">
        <v>68</v>
      </c>
      <c r="BC2" s="1" t="s">
        <v>69</v>
      </c>
      <c r="BE2" s="1" t="s">
        <v>70</v>
      </c>
      <c r="BF2" s="1" t="s">
        <v>71</v>
      </c>
      <c r="BG2" s="1" t="s">
        <v>72</v>
      </c>
    </row>
    <row r="3" spans="1:59" x14ac:dyDescent="0.25">
      <c r="A3" s="1">
        <v>0</v>
      </c>
      <c r="B3" s="1">
        <v>1541</v>
      </c>
      <c r="C3" s="1">
        <v>1</v>
      </c>
      <c r="D3" s="1"/>
      <c r="E3" s="1">
        <v>0</v>
      </c>
      <c r="F3" s="1">
        <v>1541</v>
      </c>
      <c r="G3" s="1">
        <v>0</v>
      </c>
      <c r="H3" s="1"/>
      <c r="I3" s="1">
        <v>0</v>
      </c>
      <c r="J3" s="1">
        <f>F3+20</f>
        <v>1561</v>
      </c>
      <c r="K3" s="1">
        <f>G3</f>
        <v>0</v>
      </c>
      <c r="L3" s="1"/>
      <c r="M3" s="1">
        <v>0</v>
      </c>
      <c r="N3" s="1">
        <v>1665</v>
      </c>
      <c r="O3" s="1">
        <v>0</v>
      </c>
      <c r="P3" s="1"/>
      <c r="Q3" s="1">
        <v>0</v>
      </c>
      <c r="R3" s="1">
        <v>1690</v>
      </c>
      <c r="S3" s="1">
        <v>0</v>
      </c>
      <c r="T3" s="1"/>
      <c r="U3" s="1">
        <v>0</v>
      </c>
      <c r="V3" s="1">
        <v>1700</v>
      </c>
      <c r="W3" s="1">
        <v>0</v>
      </c>
      <c r="X3" s="1"/>
      <c r="Y3" s="1">
        <v>0</v>
      </c>
      <c r="Z3" s="1">
        <v>1820</v>
      </c>
      <c r="AA3" s="1">
        <v>0.5</v>
      </c>
      <c r="AB3" s="1"/>
      <c r="AC3" s="1">
        <v>0</v>
      </c>
      <c r="AD3" s="2">
        <v>1840</v>
      </c>
      <c r="AE3" s="1">
        <v>0.5</v>
      </c>
      <c r="AF3" s="1"/>
      <c r="AG3" s="1">
        <v>0</v>
      </c>
      <c r="AH3" s="2">
        <f>AD3+20</f>
        <v>1860</v>
      </c>
      <c r="AI3" s="1">
        <f>AE3</f>
        <v>0.5</v>
      </c>
      <c r="AK3" s="4">
        <v>0</v>
      </c>
      <c r="AL3" s="9">
        <f>AH3+20</f>
        <v>1880</v>
      </c>
      <c r="AM3" s="4">
        <f>AI3</f>
        <v>0.5</v>
      </c>
      <c r="AO3" s="1">
        <v>0</v>
      </c>
      <c r="AP3" s="2">
        <f>AL3+20</f>
        <v>1900</v>
      </c>
      <c r="AQ3" s="1">
        <f>AM3</f>
        <v>0.5</v>
      </c>
      <c r="AS3" s="1">
        <v>0</v>
      </c>
      <c r="AT3" s="2">
        <f>AP3+20</f>
        <v>1920</v>
      </c>
      <c r="AU3" s="1">
        <f>AQ3</f>
        <v>0.5</v>
      </c>
      <c r="AW3" s="1">
        <v>0</v>
      </c>
      <c r="AX3" s="2">
        <f>AT3+20</f>
        <v>1940</v>
      </c>
      <c r="AY3" s="1">
        <f>AU3</f>
        <v>0.5</v>
      </c>
      <c r="BA3" s="1">
        <v>0</v>
      </c>
      <c r="BB3" s="1">
        <f>AX3+100</f>
        <v>2040</v>
      </c>
      <c r="BC3" s="1">
        <v>1</v>
      </c>
      <c r="BE3" s="1">
        <v>0</v>
      </c>
      <c r="BF3" s="1">
        <f>BB3+97</f>
        <v>2137</v>
      </c>
      <c r="BG3" s="1">
        <v>1</v>
      </c>
    </row>
    <row r="4" spans="1:59" x14ac:dyDescent="0.25">
      <c r="A4" s="1">
        <f>B3</f>
        <v>1541</v>
      </c>
      <c r="B4" s="1">
        <v>1614</v>
      </c>
      <c r="C4" s="1">
        <v>1.5</v>
      </c>
      <c r="D4" s="1"/>
      <c r="E4" s="1">
        <f>F3</f>
        <v>1541</v>
      </c>
      <c r="F4" s="1">
        <v>1614</v>
      </c>
      <c r="G4" s="1">
        <v>0.4</v>
      </c>
      <c r="H4" s="1"/>
      <c r="I4" s="1">
        <f>E4+10</f>
        <v>1551</v>
      </c>
      <c r="J4" s="1">
        <f>F4+10</f>
        <v>1624</v>
      </c>
      <c r="K4" s="1">
        <v>0.5</v>
      </c>
      <c r="L4" s="1"/>
      <c r="M4" s="1">
        <v>1665</v>
      </c>
      <c r="N4" s="1">
        <v>1760</v>
      </c>
      <c r="O4" s="1">
        <v>1.5</v>
      </c>
      <c r="P4" s="1"/>
      <c r="Q4" s="1">
        <v>1690</v>
      </c>
      <c r="R4" s="1">
        <v>1780</v>
      </c>
      <c r="S4" s="1">
        <v>1</v>
      </c>
      <c r="T4" s="1"/>
      <c r="U4" s="1">
        <v>1700</v>
      </c>
      <c r="V4" s="1">
        <v>1790</v>
      </c>
      <c r="W4" s="1">
        <v>0.5</v>
      </c>
      <c r="X4" s="1"/>
      <c r="Y4" s="1">
        <v>1820</v>
      </c>
      <c r="Z4" s="1">
        <v>1900</v>
      </c>
      <c r="AA4" s="1">
        <v>1</v>
      </c>
      <c r="AB4" s="1"/>
      <c r="AC4" s="2">
        <v>1840</v>
      </c>
      <c r="AD4" s="2">
        <v>1920</v>
      </c>
      <c r="AE4" s="1">
        <v>1</v>
      </c>
      <c r="AF4" s="1"/>
      <c r="AG4" s="2">
        <f>AC4+20</f>
        <v>1860</v>
      </c>
      <c r="AH4" s="2">
        <f t="shared" ref="AH4:AH20" si="0">AD4+20</f>
        <v>1940</v>
      </c>
      <c r="AI4" s="1">
        <f t="shared" ref="AI4:AI20" si="1">AE4</f>
        <v>1</v>
      </c>
      <c r="AK4" s="9">
        <f>AG4+20</f>
        <v>1880</v>
      </c>
      <c r="AL4" s="9">
        <f>AH4+20</f>
        <v>1960</v>
      </c>
      <c r="AM4" s="4">
        <f t="shared" ref="AM4:AM22" si="2">AI4</f>
        <v>1</v>
      </c>
      <c r="AO4" s="2">
        <f>AK4+20</f>
        <v>1900</v>
      </c>
      <c r="AP4" s="2">
        <f t="shared" ref="AP4:AP23" si="3">AL4+20</f>
        <v>1980</v>
      </c>
      <c r="AQ4" s="1">
        <f t="shared" ref="AQ4:AQ23" si="4">AM4</f>
        <v>1</v>
      </c>
      <c r="AS4" s="2">
        <f>AO4+20</f>
        <v>1920</v>
      </c>
      <c r="AT4" s="2">
        <f t="shared" ref="AT4:AT24" si="5">AP4+20</f>
        <v>2000</v>
      </c>
      <c r="AU4" s="1">
        <f t="shared" ref="AU4:AU24" si="6">AQ4</f>
        <v>1</v>
      </c>
      <c r="AW4" s="2">
        <f>AS4+20</f>
        <v>1940</v>
      </c>
      <c r="AX4" s="2">
        <f t="shared" ref="AX4:AX25" si="7">AT4+20</f>
        <v>2020</v>
      </c>
      <c r="AY4" s="1">
        <f t="shared" ref="AY4:AY25" si="8">AU4</f>
        <v>1</v>
      </c>
      <c r="BA4" s="1">
        <v>2554</v>
      </c>
      <c r="BB4" s="1">
        <v>2717</v>
      </c>
      <c r="BC4" s="1">
        <v>1.5</v>
      </c>
      <c r="BE4" s="1">
        <v>2651</v>
      </c>
      <c r="BF4" s="1">
        <v>2814</v>
      </c>
      <c r="BG4" s="1">
        <v>1.5</v>
      </c>
    </row>
    <row r="5" spans="1:59" x14ac:dyDescent="0.25">
      <c r="A5" s="1">
        <f>B4</f>
        <v>1614</v>
      </c>
      <c r="B5" s="1">
        <v>1757</v>
      </c>
      <c r="C5" s="1">
        <v>2.4</v>
      </c>
      <c r="D5" s="1"/>
      <c r="E5" s="1">
        <f>F4</f>
        <v>1614</v>
      </c>
      <c r="F5" s="1">
        <v>1757</v>
      </c>
      <c r="G5" s="1">
        <v>1.5</v>
      </c>
      <c r="H5" s="1"/>
      <c r="I5" s="1">
        <f>E5+10</f>
        <v>1624</v>
      </c>
      <c r="J5" s="1">
        <f t="shared" ref="J5:J14" si="9">F5+10</f>
        <v>1767</v>
      </c>
      <c r="K5" s="1">
        <f t="shared" ref="K5:K14" si="10">MAX(G5-0.5,0)</f>
        <v>1</v>
      </c>
      <c r="L5" s="1"/>
      <c r="M5" s="1">
        <v>1760</v>
      </c>
      <c r="N5" s="1">
        <v>1855</v>
      </c>
      <c r="O5" s="1">
        <v>2</v>
      </c>
      <c r="P5" s="1"/>
      <c r="Q5" s="1">
        <v>1780</v>
      </c>
      <c r="R5" s="1">
        <v>1870</v>
      </c>
      <c r="S5" s="1">
        <v>1.5</v>
      </c>
      <c r="T5" s="1"/>
      <c r="U5" s="1">
        <v>1790</v>
      </c>
      <c r="V5" s="1">
        <v>1880</v>
      </c>
      <c r="W5" s="1">
        <v>1</v>
      </c>
      <c r="X5" s="1"/>
      <c r="Y5" s="1">
        <v>1900</v>
      </c>
      <c r="Z5" s="1">
        <v>1980</v>
      </c>
      <c r="AA5" s="1">
        <v>1.5</v>
      </c>
      <c r="AB5" s="1"/>
      <c r="AC5" s="2">
        <v>1920</v>
      </c>
      <c r="AD5" s="2">
        <v>2000</v>
      </c>
      <c r="AE5" s="1">
        <v>1.5</v>
      </c>
      <c r="AF5" s="1"/>
      <c r="AG5" s="2">
        <f t="shared" ref="AG5:AG20" si="11">AC5+20</f>
        <v>1940</v>
      </c>
      <c r="AH5" s="2">
        <f t="shared" si="0"/>
        <v>2020</v>
      </c>
      <c r="AI5" s="1">
        <f t="shared" si="1"/>
        <v>1.5</v>
      </c>
      <c r="AK5" s="9">
        <f t="shared" ref="AK5:AK23" si="12">AG5+20</f>
        <v>1960</v>
      </c>
      <c r="AL5" s="9">
        <f t="shared" ref="AL5:AL21" si="13">AH5+20</f>
        <v>2040</v>
      </c>
      <c r="AM5" s="4">
        <f t="shared" si="2"/>
        <v>1.5</v>
      </c>
      <c r="AO5" s="2">
        <f t="shared" ref="AO5:AO24" si="14">AK5+20</f>
        <v>1980</v>
      </c>
      <c r="AP5" s="2">
        <f t="shared" si="3"/>
        <v>2060</v>
      </c>
      <c r="AQ5" s="1">
        <f t="shared" si="4"/>
        <v>1.5</v>
      </c>
      <c r="AS5" s="2">
        <f t="shared" ref="AS5:AS25" si="15">AO5+20</f>
        <v>2000</v>
      </c>
      <c r="AT5" s="2">
        <f t="shared" si="5"/>
        <v>2080</v>
      </c>
      <c r="AU5" s="1">
        <f t="shared" si="6"/>
        <v>1.5</v>
      </c>
      <c r="AW5" s="2">
        <f t="shared" ref="AW5:AW26" si="16">AS5+20</f>
        <v>2020</v>
      </c>
      <c r="AX5" s="2">
        <f t="shared" si="7"/>
        <v>2100</v>
      </c>
      <c r="AY5" s="1">
        <f t="shared" si="8"/>
        <v>1.5</v>
      </c>
      <c r="BA5" s="1">
        <v>2717</v>
      </c>
      <c r="BB5" s="1">
        <v>2880</v>
      </c>
      <c r="BC5" s="1">
        <v>2</v>
      </c>
      <c r="BE5" s="1">
        <v>2814</v>
      </c>
      <c r="BF5" s="1">
        <v>2977</v>
      </c>
      <c r="BG5" s="1">
        <v>2</v>
      </c>
    </row>
    <row r="6" spans="1:59" x14ac:dyDescent="0.25">
      <c r="A6" s="1">
        <f t="shared" ref="A6:A10" si="17">B5</f>
        <v>1757</v>
      </c>
      <c r="B6" s="1">
        <v>1897</v>
      </c>
      <c r="C6" s="1">
        <v>3</v>
      </c>
      <c r="D6" s="1"/>
      <c r="E6" s="1">
        <f t="shared" ref="E6:E10" si="18">F5</f>
        <v>1757</v>
      </c>
      <c r="F6" s="1">
        <v>1897</v>
      </c>
      <c r="G6" s="1">
        <v>2.5</v>
      </c>
      <c r="H6" s="1"/>
      <c r="I6" s="1">
        <f t="shared" ref="I6:I14" si="19">E6+10</f>
        <v>1767</v>
      </c>
      <c r="J6" s="1">
        <f t="shared" si="9"/>
        <v>1907</v>
      </c>
      <c r="K6" s="1">
        <f t="shared" si="10"/>
        <v>2</v>
      </c>
      <c r="L6" s="1"/>
      <c r="M6" s="1">
        <v>1855</v>
      </c>
      <c r="N6" s="1">
        <v>1950</v>
      </c>
      <c r="O6" s="1">
        <v>2.5</v>
      </c>
      <c r="P6" s="1"/>
      <c r="Q6" s="1">
        <v>1870</v>
      </c>
      <c r="R6" s="1">
        <v>1960</v>
      </c>
      <c r="S6" s="1">
        <v>2.5</v>
      </c>
      <c r="T6" s="1"/>
      <c r="U6" s="1">
        <v>1880</v>
      </c>
      <c r="V6" s="1">
        <v>1970</v>
      </c>
      <c r="W6" s="1">
        <v>1.7999999999999998</v>
      </c>
      <c r="X6" s="1"/>
      <c r="Y6" s="1">
        <v>1980</v>
      </c>
      <c r="Z6" s="1">
        <v>2060</v>
      </c>
      <c r="AA6" s="1">
        <v>2</v>
      </c>
      <c r="AB6" s="1"/>
      <c r="AC6" s="2">
        <v>2000</v>
      </c>
      <c r="AD6" s="2">
        <v>2080</v>
      </c>
      <c r="AE6" s="1">
        <v>2</v>
      </c>
      <c r="AF6" s="1"/>
      <c r="AG6" s="2">
        <f t="shared" si="11"/>
        <v>2020</v>
      </c>
      <c r="AH6" s="2">
        <f t="shared" si="0"/>
        <v>2100</v>
      </c>
      <c r="AI6" s="1">
        <f t="shared" si="1"/>
        <v>2</v>
      </c>
      <c r="AK6" s="9">
        <f t="shared" si="12"/>
        <v>2040</v>
      </c>
      <c r="AL6" s="9">
        <f t="shared" si="13"/>
        <v>2120</v>
      </c>
      <c r="AM6" s="4">
        <f t="shared" si="2"/>
        <v>2</v>
      </c>
      <c r="AO6" s="2">
        <f t="shared" si="14"/>
        <v>2060</v>
      </c>
      <c r="AP6" s="2">
        <f t="shared" si="3"/>
        <v>2140</v>
      </c>
      <c r="AQ6" s="1">
        <f t="shared" si="4"/>
        <v>2</v>
      </c>
      <c r="AS6" s="2">
        <f t="shared" si="15"/>
        <v>2080</v>
      </c>
      <c r="AT6" s="2">
        <f t="shared" si="5"/>
        <v>2160</v>
      </c>
      <c r="AU6" s="1">
        <f t="shared" si="6"/>
        <v>2</v>
      </c>
      <c r="AW6" s="2">
        <f t="shared" si="16"/>
        <v>2100</v>
      </c>
      <c r="AX6" s="2">
        <f t="shared" si="7"/>
        <v>2180</v>
      </c>
      <c r="AY6" s="1">
        <f t="shared" si="8"/>
        <v>2</v>
      </c>
      <c r="BA6" s="1">
        <v>2880</v>
      </c>
      <c r="BB6" s="1">
        <v>3043</v>
      </c>
      <c r="BC6" s="1">
        <v>2.5</v>
      </c>
      <c r="BE6" s="1">
        <v>2977</v>
      </c>
      <c r="BF6" s="1">
        <v>3140</v>
      </c>
      <c r="BG6" s="1">
        <v>2.5</v>
      </c>
    </row>
    <row r="7" spans="1:59" x14ac:dyDescent="0.25">
      <c r="A7" s="1">
        <f t="shared" si="17"/>
        <v>1897</v>
      </c>
      <c r="B7" s="1">
        <v>2038</v>
      </c>
      <c r="C7" s="1">
        <v>3.8</v>
      </c>
      <c r="D7" s="1"/>
      <c r="E7" s="1">
        <f t="shared" si="18"/>
        <v>1897</v>
      </c>
      <c r="F7" s="1">
        <v>2038</v>
      </c>
      <c r="G7" s="1">
        <v>3.3</v>
      </c>
      <c r="H7" s="1"/>
      <c r="I7" s="1">
        <f t="shared" si="19"/>
        <v>1907</v>
      </c>
      <c r="J7" s="1">
        <f t="shared" si="9"/>
        <v>2048</v>
      </c>
      <c r="K7" s="1">
        <f t="shared" si="10"/>
        <v>2.8</v>
      </c>
      <c r="L7" s="1"/>
      <c r="M7" s="1">
        <v>1950</v>
      </c>
      <c r="N7" s="1">
        <v>2045</v>
      </c>
      <c r="O7" s="1">
        <v>3.5</v>
      </c>
      <c r="P7" s="1"/>
      <c r="Q7" s="1">
        <v>1960</v>
      </c>
      <c r="R7" s="1">
        <v>2050</v>
      </c>
      <c r="S7" s="1">
        <v>3</v>
      </c>
      <c r="T7" s="1"/>
      <c r="U7" s="1">
        <v>1970</v>
      </c>
      <c r="V7" s="1">
        <v>2060</v>
      </c>
      <c r="W7" s="1">
        <v>2.5</v>
      </c>
      <c r="X7" s="1"/>
      <c r="Y7" s="1">
        <v>2060</v>
      </c>
      <c r="Z7" s="1">
        <v>2140</v>
      </c>
      <c r="AA7" s="1">
        <v>3</v>
      </c>
      <c r="AB7" s="1"/>
      <c r="AC7" s="2">
        <v>2080</v>
      </c>
      <c r="AD7" s="2">
        <v>2160</v>
      </c>
      <c r="AE7" s="1">
        <v>3.5</v>
      </c>
      <c r="AF7" s="1"/>
      <c r="AG7" s="2">
        <f t="shared" si="11"/>
        <v>2100</v>
      </c>
      <c r="AH7" s="2">
        <f t="shared" si="0"/>
        <v>2180</v>
      </c>
      <c r="AI7" s="1">
        <f t="shared" si="1"/>
        <v>3.5</v>
      </c>
      <c r="AK7" s="9">
        <f t="shared" si="12"/>
        <v>2120</v>
      </c>
      <c r="AL7" s="9">
        <f t="shared" si="13"/>
        <v>2200</v>
      </c>
      <c r="AM7" s="4">
        <f t="shared" si="2"/>
        <v>3.5</v>
      </c>
      <c r="AO7" s="2">
        <f t="shared" si="14"/>
        <v>2140</v>
      </c>
      <c r="AP7" s="2">
        <f t="shared" si="3"/>
        <v>2220</v>
      </c>
      <c r="AQ7" s="1">
        <f t="shared" si="4"/>
        <v>3.5</v>
      </c>
      <c r="AS7" s="2">
        <f t="shared" si="15"/>
        <v>2160</v>
      </c>
      <c r="AT7" s="2">
        <f t="shared" si="5"/>
        <v>2240</v>
      </c>
      <c r="AU7" s="1">
        <f t="shared" si="6"/>
        <v>3.5</v>
      </c>
      <c r="AW7" s="2">
        <f t="shared" si="16"/>
        <v>2180</v>
      </c>
      <c r="AX7" s="2">
        <f t="shared" si="7"/>
        <v>2260</v>
      </c>
      <c r="AY7" s="1">
        <f t="shared" si="8"/>
        <v>3.5</v>
      </c>
      <c r="BA7" s="1">
        <v>3043</v>
      </c>
      <c r="BB7" s="1">
        <v>3208</v>
      </c>
      <c r="BC7" s="1">
        <v>3.5</v>
      </c>
      <c r="BE7" s="1">
        <v>3140</v>
      </c>
      <c r="BF7" s="1">
        <v>3305</v>
      </c>
      <c r="BG7" s="1">
        <v>3</v>
      </c>
    </row>
    <row r="8" spans="1:59" x14ac:dyDescent="0.25">
      <c r="A8" s="1">
        <f t="shared" si="17"/>
        <v>2038</v>
      </c>
      <c r="B8" s="1">
        <v>2178</v>
      </c>
      <c r="C8" s="1">
        <v>5.0999999999999996</v>
      </c>
      <c r="D8" s="1"/>
      <c r="E8" s="1">
        <f t="shared" si="18"/>
        <v>2038</v>
      </c>
      <c r="F8" s="1">
        <v>2178</v>
      </c>
      <c r="G8" s="1">
        <v>5</v>
      </c>
      <c r="H8" s="1"/>
      <c r="I8" s="1">
        <f t="shared" si="19"/>
        <v>2048</v>
      </c>
      <c r="J8" s="1">
        <f t="shared" si="9"/>
        <v>2188</v>
      </c>
      <c r="K8" s="1">
        <f t="shared" si="10"/>
        <v>4.5</v>
      </c>
      <c r="L8" s="1"/>
      <c r="M8" s="1">
        <v>2045</v>
      </c>
      <c r="N8" s="1">
        <v>2140</v>
      </c>
      <c r="O8" s="1">
        <v>4.5</v>
      </c>
      <c r="P8" s="1"/>
      <c r="Q8" s="1">
        <v>2050</v>
      </c>
      <c r="R8" s="1">
        <v>2140</v>
      </c>
      <c r="S8" s="1">
        <v>3.5</v>
      </c>
      <c r="T8" s="1"/>
      <c r="U8" s="1">
        <v>2060</v>
      </c>
      <c r="V8" s="1">
        <v>2150</v>
      </c>
      <c r="W8" s="1">
        <v>3</v>
      </c>
      <c r="X8" s="1"/>
      <c r="Y8" s="1">
        <v>2140</v>
      </c>
      <c r="Z8" s="1">
        <v>2220</v>
      </c>
      <c r="AA8" s="1">
        <v>4</v>
      </c>
      <c r="AB8" s="1"/>
      <c r="AC8" s="2">
        <v>2160</v>
      </c>
      <c r="AD8" s="2">
        <v>2240</v>
      </c>
      <c r="AE8" s="1">
        <v>4</v>
      </c>
      <c r="AF8" s="1"/>
      <c r="AG8" s="2">
        <f t="shared" si="11"/>
        <v>2180</v>
      </c>
      <c r="AH8" s="2">
        <f t="shared" si="0"/>
        <v>2260</v>
      </c>
      <c r="AI8" s="1">
        <f t="shared" si="1"/>
        <v>4</v>
      </c>
      <c r="AK8" s="9">
        <f t="shared" si="12"/>
        <v>2200</v>
      </c>
      <c r="AL8" s="9">
        <f t="shared" si="13"/>
        <v>2280</v>
      </c>
      <c r="AM8" s="4">
        <f t="shared" si="2"/>
        <v>4</v>
      </c>
      <c r="AO8" s="2">
        <f t="shared" si="14"/>
        <v>2220</v>
      </c>
      <c r="AP8" s="2">
        <f t="shared" si="3"/>
        <v>2300</v>
      </c>
      <c r="AQ8" s="1">
        <f t="shared" si="4"/>
        <v>4</v>
      </c>
      <c r="AS8" s="2">
        <f t="shared" si="15"/>
        <v>2240</v>
      </c>
      <c r="AT8" s="2">
        <f t="shared" si="5"/>
        <v>2320</v>
      </c>
      <c r="AU8" s="1">
        <f t="shared" si="6"/>
        <v>4</v>
      </c>
      <c r="AW8" s="2">
        <f t="shared" si="16"/>
        <v>2260</v>
      </c>
      <c r="AX8" s="2">
        <f t="shared" si="7"/>
        <v>2340</v>
      </c>
      <c r="AY8" s="1">
        <f t="shared" si="8"/>
        <v>4</v>
      </c>
      <c r="BA8" s="1">
        <v>3208</v>
      </c>
      <c r="BB8" s="1">
        <v>3373</v>
      </c>
      <c r="BC8" s="1">
        <v>4</v>
      </c>
      <c r="BE8" s="1">
        <v>3305</v>
      </c>
      <c r="BF8" s="1">
        <v>3371</v>
      </c>
      <c r="BG8" s="1">
        <v>3.5</v>
      </c>
    </row>
    <row r="9" spans="1:59" x14ac:dyDescent="0.25">
      <c r="A9" s="1">
        <f t="shared" si="17"/>
        <v>2178</v>
      </c>
      <c r="B9" s="1">
        <v>2259</v>
      </c>
      <c r="C9" s="1">
        <v>6.5</v>
      </c>
      <c r="D9" s="1"/>
      <c r="E9" s="1">
        <f t="shared" si="18"/>
        <v>2178</v>
      </c>
      <c r="F9" s="1">
        <v>2259</v>
      </c>
      <c r="G9" s="1">
        <v>6.5</v>
      </c>
      <c r="H9" s="1"/>
      <c r="I9" s="1">
        <f t="shared" si="19"/>
        <v>2188</v>
      </c>
      <c r="J9" s="1">
        <f t="shared" si="9"/>
        <v>2269</v>
      </c>
      <c r="K9" s="1">
        <f t="shared" si="10"/>
        <v>6</v>
      </c>
      <c r="L9" s="1"/>
      <c r="M9" s="1">
        <v>2140</v>
      </c>
      <c r="N9" s="1">
        <v>2235</v>
      </c>
      <c r="O9" s="1">
        <v>5.5</v>
      </c>
      <c r="P9" s="1"/>
      <c r="Q9" s="1">
        <v>2140</v>
      </c>
      <c r="R9" s="1">
        <v>2230</v>
      </c>
      <c r="S9" s="1">
        <v>4.5</v>
      </c>
      <c r="T9" s="1"/>
      <c r="U9" s="1">
        <v>2150</v>
      </c>
      <c r="V9" s="1">
        <v>2240</v>
      </c>
      <c r="W9" s="1">
        <v>3.5</v>
      </c>
      <c r="X9" s="1"/>
      <c r="Y9" s="1">
        <v>2220</v>
      </c>
      <c r="Z9" s="1">
        <v>2300</v>
      </c>
      <c r="AA9" s="1">
        <v>4.5</v>
      </c>
      <c r="AB9" s="1"/>
      <c r="AC9" s="2">
        <v>2240</v>
      </c>
      <c r="AD9" s="2">
        <v>2320</v>
      </c>
      <c r="AE9" s="1">
        <v>4.5</v>
      </c>
      <c r="AF9" s="1"/>
      <c r="AG9" s="2">
        <f t="shared" si="11"/>
        <v>2260</v>
      </c>
      <c r="AH9" s="2">
        <f t="shared" si="0"/>
        <v>2340</v>
      </c>
      <c r="AI9" s="1">
        <f t="shared" si="1"/>
        <v>4.5</v>
      </c>
      <c r="AK9" s="9">
        <f t="shared" si="12"/>
        <v>2280</v>
      </c>
      <c r="AL9" s="9">
        <f t="shared" si="13"/>
        <v>2360</v>
      </c>
      <c r="AM9" s="4">
        <f t="shared" si="2"/>
        <v>4.5</v>
      </c>
      <c r="AO9" s="2">
        <f t="shared" si="14"/>
        <v>2300</v>
      </c>
      <c r="AP9" s="2">
        <f t="shared" si="3"/>
        <v>2380</v>
      </c>
      <c r="AQ9" s="1">
        <f t="shared" si="4"/>
        <v>4.5</v>
      </c>
      <c r="AS9" s="2">
        <f t="shared" si="15"/>
        <v>2320</v>
      </c>
      <c r="AT9" s="2">
        <f t="shared" si="5"/>
        <v>2400</v>
      </c>
      <c r="AU9" s="1">
        <f t="shared" si="6"/>
        <v>4.5</v>
      </c>
      <c r="AW9" s="2">
        <f t="shared" si="16"/>
        <v>2340</v>
      </c>
      <c r="AX9" s="2">
        <f t="shared" si="7"/>
        <v>2420</v>
      </c>
      <c r="AY9" s="1">
        <f t="shared" si="8"/>
        <v>4.5</v>
      </c>
      <c r="BA9" s="1">
        <v>3373</v>
      </c>
      <c r="BB9" s="1">
        <v>3574</v>
      </c>
      <c r="BC9" s="1">
        <v>4.5</v>
      </c>
      <c r="BE9" s="1">
        <v>3371</v>
      </c>
      <c r="BF9" s="1">
        <v>3505</v>
      </c>
      <c r="BG9" s="1">
        <v>4.5</v>
      </c>
    </row>
    <row r="10" spans="1:59" x14ac:dyDescent="0.25">
      <c r="A10" s="1">
        <f t="shared" si="17"/>
        <v>2259</v>
      </c>
      <c r="B10" s="1">
        <v>2341</v>
      </c>
      <c r="C10" s="1">
        <v>7</v>
      </c>
      <c r="D10" s="1"/>
      <c r="E10" s="1">
        <f t="shared" si="18"/>
        <v>2259</v>
      </c>
      <c r="F10" s="1">
        <v>2341</v>
      </c>
      <c r="G10" s="1">
        <v>7</v>
      </c>
      <c r="H10" s="1"/>
      <c r="I10" s="1">
        <f t="shared" si="19"/>
        <v>2269</v>
      </c>
      <c r="J10" s="1">
        <f t="shared" si="9"/>
        <v>2351</v>
      </c>
      <c r="K10" s="1">
        <f t="shared" si="10"/>
        <v>6.5</v>
      </c>
      <c r="L10" s="1"/>
      <c r="M10" s="1">
        <v>2235</v>
      </c>
      <c r="N10" s="1">
        <v>2330</v>
      </c>
      <c r="O10" s="1">
        <v>6</v>
      </c>
      <c r="P10" s="1"/>
      <c r="Q10" s="1">
        <v>2230</v>
      </c>
      <c r="R10" s="1">
        <v>2320</v>
      </c>
      <c r="S10" s="1">
        <v>5</v>
      </c>
      <c r="T10" s="1"/>
      <c r="U10" s="1">
        <v>2240</v>
      </c>
      <c r="V10" s="1">
        <v>2330</v>
      </c>
      <c r="W10" s="1">
        <v>4.5</v>
      </c>
      <c r="X10" s="1"/>
      <c r="Y10" s="1">
        <v>2300</v>
      </c>
      <c r="Z10" s="1">
        <v>2380</v>
      </c>
      <c r="AA10" s="1">
        <v>5</v>
      </c>
      <c r="AB10" s="1"/>
      <c r="AC10" s="2">
        <v>2320</v>
      </c>
      <c r="AD10" s="2">
        <v>2400</v>
      </c>
      <c r="AE10" s="1">
        <v>5</v>
      </c>
      <c r="AF10" s="1"/>
      <c r="AG10" s="2">
        <f t="shared" si="11"/>
        <v>2340</v>
      </c>
      <c r="AH10" s="2">
        <f t="shared" si="0"/>
        <v>2420</v>
      </c>
      <c r="AI10" s="1">
        <f t="shared" si="1"/>
        <v>5</v>
      </c>
      <c r="AK10" s="9">
        <f t="shared" si="12"/>
        <v>2360</v>
      </c>
      <c r="AL10" s="9">
        <f t="shared" si="13"/>
        <v>2440</v>
      </c>
      <c r="AM10" s="4">
        <f t="shared" si="2"/>
        <v>5</v>
      </c>
      <c r="AO10" s="2">
        <f t="shared" si="14"/>
        <v>2380</v>
      </c>
      <c r="AP10" s="2">
        <f t="shared" si="3"/>
        <v>2460</v>
      </c>
      <c r="AQ10" s="1">
        <f t="shared" si="4"/>
        <v>5</v>
      </c>
      <c r="AS10" s="2">
        <f t="shared" si="15"/>
        <v>2400</v>
      </c>
      <c r="AT10" s="2">
        <f t="shared" si="5"/>
        <v>2480</v>
      </c>
      <c r="AU10" s="1">
        <f t="shared" si="6"/>
        <v>5</v>
      </c>
      <c r="AW10" s="2">
        <f t="shared" si="16"/>
        <v>2420</v>
      </c>
      <c r="AX10" s="2">
        <f t="shared" si="7"/>
        <v>2500</v>
      </c>
      <c r="AY10" s="1">
        <f t="shared" si="8"/>
        <v>5</v>
      </c>
      <c r="BA10" s="1">
        <v>3574</v>
      </c>
      <c r="BB10" s="1">
        <v>3639</v>
      </c>
      <c r="BC10" s="1">
        <v>5</v>
      </c>
      <c r="BE10" s="1">
        <v>3505</v>
      </c>
      <c r="BF10" s="1">
        <v>3548</v>
      </c>
      <c r="BG10" s="1">
        <v>5</v>
      </c>
    </row>
    <row r="11" spans="1:59" x14ac:dyDescent="0.25">
      <c r="A11" s="1">
        <f>B10</f>
        <v>2341</v>
      </c>
      <c r="B11" s="1">
        <v>2423</v>
      </c>
      <c r="C11" s="1">
        <v>8.5</v>
      </c>
      <c r="D11" s="1"/>
      <c r="E11" s="1">
        <f>F10</f>
        <v>2341</v>
      </c>
      <c r="F11" s="1">
        <v>2423</v>
      </c>
      <c r="G11" s="1">
        <v>8.5</v>
      </c>
      <c r="H11" s="1"/>
      <c r="I11" s="1">
        <f t="shared" si="19"/>
        <v>2351</v>
      </c>
      <c r="J11" s="1">
        <f t="shared" si="9"/>
        <v>2433</v>
      </c>
      <c r="K11" s="1">
        <f t="shared" si="10"/>
        <v>8</v>
      </c>
      <c r="L11" s="1"/>
      <c r="M11" s="1">
        <v>2330</v>
      </c>
      <c r="N11" s="1">
        <v>2425</v>
      </c>
      <c r="O11" s="1">
        <v>7</v>
      </c>
      <c r="P11" s="1"/>
      <c r="Q11" s="1">
        <v>2320</v>
      </c>
      <c r="R11" s="1">
        <v>2410</v>
      </c>
      <c r="S11" s="1">
        <v>6</v>
      </c>
      <c r="T11" s="1"/>
      <c r="U11" s="1">
        <v>2330</v>
      </c>
      <c r="V11" s="1">
        <v>2420</v>
      </c>
      <c r="W11" s="1">
        <v>5.5</v>
      </c>
      <c r="X11" s="1"/>
      <c r="Y11" s="1">
        <v>2380</v>
      </c>
      <c r="Z11" s="1">
        <v>2460</v>
      </c>
      <c r="AA11" s="1">
        <v>5.5</v>
      </c>
      <c r="AB11" s="1"/>
      <c r="AC11" s="2">
        <v>2400</v>
      </c>
      <c r="AD11" s="2">
        <v>2480</v>
      </c>
      <c r="AE11" s="1">
        <v>5.5</v>
      </c>
      <c r="AF11" s="1"/>
      <c r="AG11" s="2">
        <f t="shared" si="11"/>
        <v>2420</v>
      </c>
      <c r="AH11" s="2">
        <f t="shared" si="0"/>
        <v>2500</v>
      </c>
      <c r="AI11" s="1">
        <f t="shared" si="1"/>
        <v>5.5</v>
      </c>
      <c r="AK11" s="9">
        <f t="shared" si="12"/>
        <v>2440</v>
      </c>
      <c r="AL11" s="9">
        <f t="shared" si="13"/>
        <v>2520</v>
      </c>
      <c r="AM11" s="4">
        <f t="shared" si="2"/>
        <v>5.5</v>
      </c>
      <c r="AO11" s="2">
        <f t="shared" si="14"/>
        <v>2460</v>
      </c>
      <c r="AP11" s="2">
        <f t="shared" si="3"/>
        <v>2540</v>
      </c>
      <c r="AQ11" s="1">
        <f t="shared" si="4"/>
        <v>5.5</v>
      </c>
      <c r="AS11" s="2">
        <f t="shared" si="15"/>
        <v>2480</v>
      </c>
      <c r="AT11" s="2">
        <f t="shared" si="5"/>
        <v>2560</v>
      </c>
      <c r="AU11" s="1">
        <f t="shared" si="6"/>
        <v>5.5</v>
      </c>
      <c r="AW11" s="2">
        <f t="shared" si="16"/>
        <v>2500</v>
      </c>
      <c r="AX11" s="2">
        <f t="shared" si="7"/>
        <v>2580</v>
      </c>
      <c r="AY11" s="1">
        <f t="shared" si="8"/>
        <v>5.5</v>
      </c>
      <c r="BA11" s="1">
        <v>3639</v>
      </c>
      <c r="BB11" s="1">
        <v>3704</v>
      </c>
      <c r="BC11" s="1">
        <v>5.5</v>
      </c>
      <c r="BE11" s="1">
        <v>3548</v>
      </c>
      <c r="BF11" s="1">
        <v>3634</v>
      </c>
      <c r="BG11" s="1">
        <v>5.5</v>
      </c>
    </row>
    <row r="12" spans="1:59" x14ac:dyDescent="0.25">
      <c r="A12" s="1">
        <f t="shared" ref="A12:A14" si="20">B11</f>
        <v>2423</v>
      </c>
      <c r="B12" s="1">
        <v>2512</v>
      </c>
      <c r="C12" s="1">
        <v>9</v>
      </c>
      <c r="D12" s="1"/>
      <c r="E12" s="1">
        <f t="shared" ref="E12:E14" si="21">F11</f>
        <v>2423</v>
      </c>
      <c r="F12" s="1">
        <v>2512</v>
      </c>
      <c r="G12" s="1">
        <v>9</v>
      </c>
      <c r="H12" s="1"/>
      <c r="I12" s="1">
        <f t="shared" si="19"/>
        <v>2433</v>
      </c>
      <c r="J12" s="1">
        <f t="shared" si="9"/>
        <v>2522</v>
      </c>
      <c r="K12" s="1">
        <f t="shared" si="10"/>
        <v>8.5</v>
      </c>
      <c r="L12" s="1"/>
      <c r="M12" s="1">
        <v>2425</v>
      </c>
      <c r="N12" s="1">
        <v>2520</v>
      </c>
      <c r="O12" s="1">
        <v>8</v>
      </c>
      <c r="P12" s="1"/>
      <c r="Q12" s="1">
        <v>2410</v>
      </c>
      <c r="R12" s="1">
        <v>2500</v>
      </c>
      <c r="S12" s="1">
        <v>6.5</v>
      </c>
      <c r="T12" s="1"/>
      <c r="U12" s="1">
        <v>2420</v>
      </c>
      <c r="V12" s="1">
        <v>2510</v>
      </c>
      <c r="W12" s="1">
        <v>6</v>
      </c>
      <c r="X12" s="1"/>
      <c r="Y12" s="1">
        <v>2460</v>
      </c>
      <c r="Z12" s="1">
        <v>2540</v>
      </c>
      <c r="AA12" s="1">
        <v>6</v>
      </c>
      <c r="AB12" s="1"/>
      <c r="AC12" s="2">
        <v>2480</v>
      </c>
      <c r="AD12" s="2">
        <v>2560</v>
      </c>
      <c r="AE12" s="1">
        <v>6</v>
      </c>
      <c r="AF12" s="1"/>
      <c r="AG12" s="2">
        <f t="shared" si="11"/>
        <v>2500</v>
      </c>
      <c r="AH12" s="2">
        <f t="shared" si="0"/>
        <v>2580</v>
      </c>
      <c r="AI12" s="1">
        <f t="shared" si="1"/>
        <v>6</v>
      </c>
      <c r="AK12" s="9">
        <f t="shared" si="12"/>
        <v>2520</v>
      </c>
      <c r="AL12" s="9">
        <f t="shared" si="13"/>
        <v>2600</v>
      </c>
      <c r="AM12" s="4">
        <f t="shared" si="2"/>
        <v>6</v>
      </c>
      <c r="AO12" s="2">
        <f t="shared" si="14"/>
        <v>2540</v>
      </c>
      <c r="AP12" s="2">
        <f t="shared" si="3"/>
        <v>2620</v>
      </c>
      <c r="AQ12" s="1">
        <f t="shared" si="4"/>
        <v>6</v>
      </c>
      <c r="AS12" s="2">
        <f t="shared" si="15"/>
        <v>2560</v>
      </c>
      <c r="AT12" s="2">
        <f t="shared" si="5"/>
        <v>2640</v>
      </c>
      <c r="AU12" s="1">
        <f t="shared" si="6"/>
        <v>6</v>
      </c>
      <c r="AW12" s="2">
        <f t="shared" si="16"/>
        <v>2580</v>
      </c>
      <c r="AX12" s="2">
        <f t="shared" si="7"/>
        <v>2660</v>
      </c>
      <c r="AY12" s="1">
        <f t="shared" si="8"/>
        <v>6</v>
      </c>
      <c r="BA12" s="1">
        <v>3704</v>
      </c>
      <c r="BB12" s="1">
        <v>3769</v>
      </c>
      <c r="BC12" s="1">
        <v>6</v>
      </c>
      <c r="BE12" s="1">
        <v>3634</v>
      </c>
      <c r="BF12" s="1">
        <v>3720</v>
      </c>
      <c r="BG12" s="1">
        <v>6</v>
      </c>
    </row>
    <row r="13" spans="1:59" x14ac:dyDescent="0.25">
      <c r="A13" s="1">
        <f t="shared" si="20"/>
        <v>2512</v>
      </c>
      <c r="B13" s="1">
        <v>2601</v>
      </c>
      <c r="C13" s="1">
        <v>10</v>
      </c>
      <c r="D13" s="1"/>
      <c r="E13" s="1">
        <f t="shared" si="21"/>
        <v>2512</v>
      </c>
      <c r="F13" s="1">
        <v>2601</v>
      </c>
      <c r="G13" s="1">
        <v>10</v>
      </c>
      <c r="H13" s="1"/>
      <c r="I13" s="1">
        <f t="shared" si="19"/>
        <v>2522</v>
      </c>
      <c r="J13" s="1">
        <f t="shared" si="9"/>
        <v>2611</v>
      </c>
      <c r="K13" s="1">
        <f t="shared" si="10"/>
        <v>9.5</v>
      </c>
      <c r="L13" s="1"/>
      <c r="M13" s="1">
        <v>2520</v>
      </c>
      <c r="N13" s="1">
        <v>2615</v>
      </c>
      <c r="O13" s="1">
        <v>9</v>
      </c>
      <c r="P13" s="1"/>
      <c r="Q13" s="1">
        <v>2500</v>
      </c>
      <c r="R13" s="1">
        <v>2590</v>
      </c>
      <c r="S13" s="1">
        <v>7</v>
      </c>
      <c r="T13" s="1"/>
      <c r="U13" s="1">
        <v>2510</v>
      </c>
      <c r="V13" s="1">
        <v>2600</v>
      </c>
      <c r="W13" s="1">
        <v>6.5</v>
      </c>
      <c r="X13" s="1"/>
      <c r="Y13" s="1">
        <v>2540</v>
      </c>
      <c r="Z13" s="1">
        <v>2620</v>
      </c>
      <c r="AA13" s="1">
        <v>6.5</v>
      </c>
      <c r="AB13" s="1"/>
      <c r="AC13" s="2">
        <v>2560</v>
      </c>
      <c r="AD13" s="2">
        <v>2640</v>
      </c>
      <c r="AE13" s="1">
        <v>6.5</v>
      </c>
      <c r="AF13" s="1"/>
      <c r="AG13" s="2">
        <f t="shared" si="11"/>
        <v>2580</v>
      </c>
      <c r="AH13" s="2">
        <f t="shared" si="0"/>
        <v>2660</v>
      </c>
      <c r="AI13" s="1">
        <f t="shared" si="1"/>
        <v>6.5</v>
      </c>
      <c r="AK13" s="9">
        <f t="shared" si="12"/>
        <v>2600</v>
      </c>
      <c r="AL13" s="9">
        <f t="shared" si="13"/>
        <v>2680</v>
      </c>
      <c r="AM13" s="4">
        <f t="shared" si="2"/>
        <v>6.5</v>
      </c>
      <c r="AO13" s="2">
        <f t="shared" si="14"/>
        <v>2620</v>
      </c>
      <c r="AP13" s="2">
        <f t="shared" si="3"/>
        <v>2700</v>
      </c>
      <c r="AQ13" s="1">
        <f t="shared" si="4"/>
        <v>6.5</v>
      </c>
      <c r="AS13" s="2">
        <f t="shared" si="15"/>
        <v>2640</v>
      </c>
      <c r="AT13" s="2">
        <f t="shared" si="5"/>
        <v>2720</v>
      </c>
      <c r="AU13" s="1">
        <f t="shared" si="6"/>
        <v>6.5</v>
      </c>
      <c r="AW13" s="2">
        <f t="shared" si="16"/>
        <v>2660</v>
      </c>
      <c r="AX13" s="2">
        <f t="shared" si="7"/>
        <v>2740</v>
      </c>
      <c r="AY13" s="1">
        <f t="shared" si="8"/>
        <v>6.5</v>
      </c>
      <c r="BA13" s="1">
        <v>3769</v>
      </c>
      <c r="BB13" s="1">
        <v>3832</v>
      </c>
      <c r="BC13" s="1">
        <v>6.5</v>
      </c>
      <c r="BE13" s="1">
        <v>3720</v>
      </c>
      <c r="BF13" s="1">
        <v>3804</v>
      </c>
      <c r="BG13" s="1">
        <v>6.5</v>
      </c>
    </row>
    <row r="14" spans="1:59" x14ac:dyDescent="0.25">
      <c r="A14" s="1">
        <f t="shared" si="20"/>
        <v>2601</v>
      </c>
      <c r="B14" s="1">
        <v>2711</v>
      </c>
      <c r="C14" s="1">
        <v>11</v>
      </c>
      <c r="D14" s="1"/>
      <c r="E14" s="1">
        <f t="shared" si="21"/>
        <v>2601</v>
      </c>
      <c r="F14" s="1">
        <v>2711</v>
      </c>
      <c r="G14" s="1">
        <v>11</v>
      </c>
      <c r="H14" s="1"/>
      <c r="I14" s="1">
        <f t="shared" si="19"/>
        <v>2611</v>
      </c>
      <c r="J14" s="1">
        <f t="shared" si="9"/>
        <v>2721</v>
      </c>
      <c r="K14" s="1">
        <f t="shared" si="10"/>
        <v>10.5</v>
      </c>
      <c r="L14" s="1"/>
      <c r="M14" s="1">
        <v>2615</v>
      </c>
      <c r="N14" s="1">
        <v>2710</v>
      </c>
      <c r="O14" s="1">
        <v>10</v>
      </c>
      <c r="P14" s="1"/>
      <c r="Q14" s="1">
        <v>2590</v>
      </c>
      <c r="R14" s="1">
        <v>2680</v>
      </c>
      <c r="S14" s="1">
        <v>8</v>
      </c>
      <c r="T14" s="1"/>
      <c r="U14" s="1">
        <v>2600</v>
      </c>
      <c r="V14" s="1">
        <v>2690</v>
      </c>
      <c r="W14" s="1">
        <v>7</v>
      </c>
      <c r="X14" s="1"/>
      <c r="Y14" s="1">
        <v>2620</v>
      </c>
      <c r="Z14" s="1">
        <v>2700</v>
      </c>
      <c r="AA14" s="1">
        <v>7</v>
      </c>
      <c r="AB14" s="1"/>
      <c r="AC14" s="2">
        <v>2640</v>
      </c>
      <c r="AD14" s="2">
        <v>2720</v>
      </c>
      <c r="AE14" s="1">
        <v>7</v>
      </c>
      <c r="AF14" s="1"/>
      <c r="AG14" s="2">
        <f t="shared" si="11"/>
        <v>2660</v>
      </c>
      <c r="AH14" s="2">
        <f t="shared" si="0"/>
        <v>2740</v>
      </c>
      <c r="AI14" s="1">
        <f t="shared" si="1"/>
        <v>7</v>
      </c>
      <c r="AK14" s="9">
        <f t="shared" si="12"/>
        <v>2680</v>
      </c>
      <c r="AL14" s="9">
        <f t="shared" si="13"/>
        <v>2760</v>
      </c>
      <c r="AM14" s="4">
        <f t="shared" si="2"/>
        <v>7</v>
      </c>
      <c r="AO14" s="2">
        <f t="shared" si="14"/>
        <v>2700</v>
      </c>
      <c r="AP14" s="2">
        <f t="shared" si="3"/>
        <v>2780</v>
      </c>
      <c r="AQ14" s="1">
        <f t="shared" si="4"/>
        <v>7</v>
      </c>
      <c r="AS14" s="2">
        <f t="shared" si="15"/>
        <v>2720</v>
      </c>
      <c r="AT14" s="2">
        <f t="shared" si="5"/>
        <v>2800</v>
      </c>
      <c r="AU14" s="1">
        <f t="shared" si="6"/>
        <v>7</v>
      </c>
      <c r="AW14" s="2">
        <f t="shared" si="16"/>
        <v>2740</v>
      </c>
      <c r="AX14" s="2">
        <f t="shared" si="7"/>
        <v>2820</v>
      </c>
      <c r="AY14" s="1">
        <f t="shared" si="8"/>
        <v>7</v>
      </c>
      <c r="BA14" s="1">
        <v>3832</v>
      </c>
      <c r="BB14" s="1">
        <v>3895</v>
      </c>
      <c r="BC14" s="1">
        <v>7</v>
      </c>
      <c r="BE14" s="1">
        <v>3804</v>
      </c>
      <c r="BF14" s="1">
        <v>3888</v>
      </c>
      <c r="BG14" s="1">
        <v>7</v>
      </c>
    </row>
    <row r="15" spans="1:59" x14ac:dyDescent="0.25">
      <c r="A15" s="1">
        <f>B14</f>
        <v>2711</v>
      </c>
      <c r="B15" s="1">
        <v>9999</v>
      </c>
      <c r="C15" s="1">
        <v>100</v>
      </c>
      <c r="D15" s="1"/>
      <c r="E15" s="1">
        <f>F14</f>
        <v>2711</v>
      </c>
      <c r="F15" s="1">
        <v>9999</v>
      </c>
      <c r="G15" s="1">
        <v>100</v>
      </c>
      <c r="H15" s="1"/>
      <c r="I15" s="1">
        <f>E15+10</f>
        <v>2721</v>
      </c>
      <c r="J15" s="1">
        <f>J14+10</f>
        <v>2731</v>
      </c>
      <c r="K15" s="1">
        <f>K14+0.7</f>
        <v>11.2</v>
      </c>
      <c r="L15" s="1"/>
      <c r="M15" s="1">
        <v>2710</v>
      </c>
      <c r="N15" s="1">
        <v>2805</v>
      </c>
      <c r="O15" s="1">
        <v>10.5</v>
      </c>
      <c r="P15" s="1"/>
      <c r="Q15" s="1">
        <v>2680</v>
      </c>
      <c r="R15" s="1">
        <v>2770</v>
      </c>
      <c r="S15" s="1">
        <v>8.5</v>
      </c>
      <c r="T15" s="1"/>
      <c r="U15" s="1">
        <v>2690</v>
      </c>
      <c r="V15" s="1">
        <v>2780</v>
      </c>
      <c r="W15" s="1">
        <v>7.5</v>
      </c>
      <c r="X15" s="1"/>
      <c r="Y15" s="1">
        <v>2700</v>
      </c>
      <c r="Z15" s="1">
        <v>2780</v>
      </c>
      <c r="AA15" s="1">
        <v>7.5</v>
      </c>
      <c r="AB15" s="1"/>
      <c r="AC15" s="2">
        <v>2720</v>
      </c>
      <c r="AD15" s="2">
        <v>2800</v>
      </c>
      <c r="AE15" s="1">
        <v>7.5</v>
      </c>
      <c r="AF15" s="1"/>
      <c r="AG15" s="2">
        <f t="shared" si="11"/>
        <v>2740</v>
      </c>
      <c r="AH15" s="2">
        <f t="shared" si="0"/>
        <v>2820</v>
      </c>
      <c r="AI15" s="1">
        <f t="shared" si="1"/>
        <v>7.5</v>
      </c>
      <c r="AK15" s="9">
        <f t="shared" si="12"/>
        <v>2760</v>
      </c>
      <c r="AL15" s="9">
        <f t="shared" si="13"/>
        <v>2840</v>
      </c>
      <c r="AM15" s="4">
        <f t="shared" si="2"/>
        <v>7.5</v>
      </c>
      <c r="AO15" s="2">
        <f t="shared" si="14"/>
        <v>2780</v>
      </c>
      <c r="AP15" s="2">
        <f t="shared" si="3"/>
        <v>2860</v>
      </c>
      <c r="AQ15" s="1">
        <f t="shared" si="4"/>
        <v>7.5</v>
      </c>
      <c r="AS15" s="2">
        <f t="shared" si="15"/>
        <v>2800</v>
      </c>
      <c r="AT15" s="2">
        <f t="shared" si="5"/>
        <v>2880</v>
      </c>
      <c r="AU15" s="1">
        <f t="shared" si="6"/>
        <v>7.5</v>
      </c>
      <c r="AW15" s="2">
        <f t="shared" si="16"/>
        <v>2820</v>
      </c>
      <c r="AX15" s="2">
        <f t="shared" si="7"/>
        <v>2900</v>
      </c>
      <c r="AY15" s="1">
        <f t="shared" si="8"/>
        <v>7.5</v>
      </c>
      <c r="BA15" s="1">
        <v>3895</v>
      </c>
      <c r="BB15" s="1">
        <v>3958</v>
      </c>
      <c r="BC15" s="1">
        <v>7.5</v>
      </c>
      <c r="BE15" s="1">
        <v>3888</v>
      </c>
      <c r="BF15" s="1">
        <v>3972</v>
      </c>
      <c r="BG15" s="1">
        <v>7.5</v>
      </c>
    </row>
    <row r="16" spans="1:59" x14ac:dyDescent="0.25">
      <c r="A16" s="1"/>
      <c r="B16" s="1"/>
      <c r="C16" s="1"/>
      <c r="D16" s="1"/>
      <c r="E16" s="1"/>
      <c r="F16" s="1"/>
      <c r="G16" s="1"/>
      <c r="H16" s="1"/>
      <c r="I16" s="1">
        <v>2731</v>
      </c>
      <c r="J16" s="1">
        <v>9999</v>
      </c>
      <c r="K16" s="1">
        <v>100</v>
      </c>
      <c r="L16" s="1"/>
      <c r="M16" s="1">
        <v>2805</v>
      </c>
      <c r="N16" s="1">
        <v>2900</v>
      </c>
      <c r="O16" s="1">
        <v>11</v>
      </c>
      <c r="P16" s="1"/>
      <c r="Q16" s="1">
        <v>2770</v>
      </c>
      <c r="R16" s="1">
        <v>2860</v>
      </c>
      <c r="S16" s="1">
        <v>9</v>
      </c>
      <c r="T16" s="1"/>
      <c r="U16" s="1">
        <v>2780</v>
      </c>
      <c r="V16" s="1">
        <v>2870</v>
      </c>
      <c r="W16" s="1">
        <v>8</v>
      </c>
      <c r="X16" s="1"/>
      <c r="Y16" s="1">
        <v>2780</v>
      </c>
      <c r="Z16" s="1">
        <v>2860</v>
      </c>
      <c r="AA16" s="1">
        <v>8</v>
      </c>
      <c r="AB16" s="1"/>
      <c r="AC16" s="2">
        <v>2800</v>
      </c>
      <c r="AD16" s="2">
        <v>2880</v>
      </c>
      <c r="AE16" s="1">
        <v>8</v>
      </c>
      <c r="AF16" s="1"/>
      <c r="AG16" s="2">
        <f t="shared" si="11"/>
        <v>2820</v>
      </c>
      <c r="AH16" s="2">
        <f t="shared" si="0"/>
        <v>2900</v>
      </c>
      <c r="AI16" s="1">
        <f t="shared" si="1"/>
        <v>8</v>
      </c>
      <c r="AK16" s="9">
        <f t="shared" si="12"/>
        <v>2840</v>
      </c>
      <c r="AL16" s="9">
        <f t="shared" si="13"/>
        <v>2920</v>
      </c>
      <c r="AM16" s="4">
        <f t="shared" si="2"/>
        <v>8</v>
      </c>
      <c r="AO16" s="2">
        <f t="shared" si="14"/>
        <v>2860</v>
      </c>
      <c r="AP16" s="2">
        <f t="shared" si="3"/>
        <v>2940</v>
      </c>
      <c r="AQ16" s="1">
        <f t="shared" si="4"/>
        <v>8</v>
      </c>
      <c r="AS16" s="2">
        <f t="shared" si="15"/>
        <v>2880</v>
      </c>
      <c r="AT16" s="2">
        <f t="shared" si="5"/>
        <v>2960</v>
      </c>
      <c r="AU16" s="1">
        <f t="shared" si="6"/>
        <v>8</v>
      </c>
      <c r="AW16" s="2">
        <f t="shared" si="16"/>
        <v>2900</v>
      </c>
      <c r="AX16" s="2">
        <f t="shared" si="7"/>
        <v>2980</v>
      </c>
      <c r="AY16" s="1">
        <f t="shared" si="8"/>
        <v>8</v>
      </c>
      <c r="BA16" s="1">
        <v>3958</v>
      </c>
      <c r="BB16" s="1">
        <v>4023</v>
      </c>
      <c r="BC16" s="1">
        <v>8</v>
      </c>
      <c r="BE16" s="1">
        <v>3972</v>
      </c>
      <c r="BF16" s="1">
        <v>4058</v>
      </c>
      <c r="BG16" s="1">
        <v>8</v>
      </c>
    </row>
    <row r="17" spans="1:5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2900</v>
      </c>
      <c r="N17" s="1">
        <v>9999</v>
      </c>
      <c r="O17" s="1">
        <v>100</v>
      </c>
      <c r="P17" s="1"/>
      <c r="Q17" s="1">
        <v>2860</v>
      </c>
      <c r="R17" s="1">
        <v>2950</v>
      </c>
      <c r="S17" s="1">
        <v>9.5</v>
      </c>
      <c r="T17" s="1"/>
      <c r="U17" s="1">
        <v>2870</v>
      </c>
      <c r="V17" s="1">
        <v>2960</v>
      </c>
      <c r="W17" s="1">
        <v>8.5</v>
      </c>
      <c r="X17" s="1"/>
      <c r="Y17" s="1">
        <v>2860</v>
      </c>
      <c r="Z17" s="1">
        <v>2940</v>
      </c>
      <c r="AA17" s="1">
        <v>8.5</v>
      </c>
      <c r="AB17" s="1"/>
      <c r="AC17" s="2">
        <v>2880</v>
      </c>
      <c r="AD17" s="2">
        <v>2960</v>
      </c>
      <c r="AE17" s="1">
        <v>8.5</v>
      </c>
      <c r="AF17" s="1"/>
      <c r="AG17" s="2">
        <f t="shared" si="11"/>
        <v>2900</v>
      </c>
      <c r="AH17" s="2">
        <f t="shared" si="0"/>
        <v>2980</v>
      </c>
      <c r="AI17" s="1">
        <f t="shared" si="1"/>
        <v>8.5</v>
      </c>
      <c r="AK17" s="9">
        <f t="shared" si="12"/>
        <v>2920</v>
      </c>
      <c r="AL17" s="9">
        <f t="shared" si="13"/>
        <v>3000</v>
      </c>
      <c r="AM17" s="4">
        <f t="shared" si="2"/>
        <v>8.5</v>
      </c>
      <c r="AO17" s="2">
        <f t="shared" si="14"/>
        <v>2940</v>
      </c>
      <c r="AP17" s="2">
        <f t="shared" si="3"/>
        <v>3020</v>
      </c>
      <c r="AQ17" s="1">
        <f t="shared" si="4"/>
        <v>8.5</v>
      </c>
      <c r="AS17" s="2">
        <f t="shared" si="15"/>
        <v>2960</v>
      </c>
      <c r="AT17" s="2">
        <f t="shared" si="5"/>
        <v>3040</v>
      </c>
      <c r="AU17" s="1">
        <f t="shared" si="6"/>
        <v>8.5</v>
      </c>
      <c r="AW17" s="2">
        <f t="shared" si="16"/>
        <v>2980</v>
      </c>
      <c r="AX17" s="2">
        <f t="shared" si="7"/>
        <v>3060</v>
      </c>
      <c r="AY17" s="1">
        <f t="shared" si="8"/>
        <v>8.5</v>
      </c>
      <c r="BA17" s="1">
        <v>4023</v>
      </c>
      <c r="BB17" s="1">
        <v>4088</v>
      </c>
      <c r="BC17" s="1">
        <v>8.5</v>
      </c>
      <c r="BE17" s="1">
        <v>4058</v>
      </c>
      <c r="BF17" s="1">
        <v>4144</v>
      </c>
      <c r="BG17" s="1">
        <v>8.5</v>
      </c>
    </row>
    <row r="18" spans="1:5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2950</v>
      </c>
      <c r="R18" s="1">
        <v>9999</v>
      </c>
      <c r="S18" s="1">
        <v>100</v>
      </c>
      <c r="T18" s="1"/>
      <c r="U18" s="1">
        <v>2960</v>
      </c>
      <c r="V18" s="1">
        <v>3050</v>
      </c>
      <c r="W18" s="1">
        <v>9</v>
      </c>
      <c r="X18" s="1"/>
      <c r="Y18" s="1">
        <v>2940</v>
      </c>
      <c r="Z18" s="1">
        <v>3020</v>
      </c>
      <c r="AA18" s="1">
        <v>9</v>
      </c>
      <c r="AB18" s="1"/>
      <c r="AC18" s="2">
        <v>2960</v>
      </c>
      <c r="AD18" s="2">
        <v>3040</v>
      </c>
      <c r="AE18" s="1">
        <v>9</v>
      </c>
      <c r="AF18" s="1"/>
      <c r="AG18" s="2">
        <f t="shared" si="11"/>
        <v>2980</v>
      </c>
      <c r="AH18" s="2">
        <f t="shared" si="0"/>
        <v>3060</v>
      </c>
      <c r="AI18" s="1">
        <f t="shared" si="1"/>
        <v>9</v>
      </c>
      <c r="AK18" s="9">
        <f t="shared" si="12"/>
        <v>3000</v>
      </c>
      <c r="AL18" s="9">
        <f t="shared" si="13"/>
        <v>3080</v>
      </c>
      <c r="AM18" s="4">
        <f t="shared" si="2"/>
        <v>9</v>
      </c>
      <c r="AO18" s="2">
        <f t="shared" si="14"/>
        <v>3020</v>
      </c>
      <c r="AP18" s="2">
        <f t="shared" si="3"/>
        <v>3100</v>
      </c>
      <c r="AQ18" s="1">
        <f t="shared" si="4"/>
        <v>9</v>
      </c>
      <c r="AS18" s="2">
        <f t="shared" si="15"/>
        <v>3040</v>
      </c>
      <c r="AT18" s="2">
        <f t="shared" si="5"/>
        <v>3120</v>
      </c>
      <c r="AU18" s="1">
        <f t="shared" si="6"/>
        <v>9</v>
      </c>
      <c r="AW18" s="2">
        <f t="shared" si="16"/>
        <v>3060</v>
      </c>
      <c r="AX18" s="2">
        <f t="shared" si="7"/>
        <v>3140</v>
      </c>
      <c r="AY18" s="1">
        <f t="shared" si="8"/>
        <v>9</v>
      </c>
      <c r="BA18" s="1">
        <v>4088</v>
      </c>
      <c r="BB18" s="1">
        <v>4153</v>
      </c>
      <c r="BC18" s="1">
        <v>9</v>
      </c>
      <c r="BE18" s="1">
        <v>4144</v>
      </c>
      <c r="BF18" s="1">
        <v>4230</v>
      </c>
      <c r="BG18" s="1">
        <v>9</v>
      </c>
    </row>
    <row r="19" spans="1:5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3050</v>
      </c>
      <c r="V19" s="1">
        <v>9999</v>
      </c>
      <c r="W19" s="1">
        <v>100</v>
      </c>
      <c r="X19" s="1"/>
      <c r="Y19" s="1">
        <v>3020</v>
      </c>
      <c r="Z19" s="1">
        <v>3100</v>
      </c>
      <c r="AA19" s="1">
        <v>9.5</v>
      </c>
      <c r="AB19" s="1"/>
      <c r="AC19" s="2">
        <v>3040</v>
      </c>
      <c r="AD19" s="2">
        <v>3120</v>
      </c>
      <c r="AE19" s="1">
        <v>9.5</v>
      </c>
      <c r="AF19" s="1"/>
      <c r="AG19" s="2">
        <f t="shared" si="11"/>
        <v>3060</v>
      </c>
      <c r="AH19" s="2">
        <f t="shared" si="0"/>
        <v>3140</v>
      </c>
      <c r="AI19" s="1">
        <f t="shared" si="1"/>
        <v>9.5</v>
      </c>
      <c r="AK19" s="9">
        <f t="shared" si="12"/>
        <v>3080</v>
      </c>
      <c r="AL19" s="9">
        <f t="shared" si="13"/>
        <v>3160</v>
      </c>
      <c r="AM19" s="4">
        <f t="shared" si="2"/>
        <v>9.5</v>
      </c>
      <c r="AO19" s="2">
        <f t="shared" si="14"/>
        <v>3100</v>
      </c>
      <c r="AP19" s="2">
        <f t="shared" si="3"/>
        <v>3180</v>
      </c>
      <c r="AQ19" s="1">
        <f t="shared" si="4"/>
        <v>9.5</v>
      </c>
      <c r="AS19" s="2">
        <f t="shared" si="15"/>
        <v>3120</v>
      </c>
      <c r="AT19" s="2">
        <f t="shared" si="5"/>
        <v>3200</v>
      </c>
      <c r="AU19" s="1">
        <f t="shared" si="6"/>
        <v>9.5</v>
      </c>
      <c r="AW19" s="2">
        <f t="shared" si="16"/>
        <v>3140</v>
      </c>
      <c r="AX19" s="2">
        <f t="shared" si="7"/>
        <v>3220</v>
      </c>
      <c r="AY19" s="1">
        <f t="shared" si="8"/>
        <v>9.5</v>
      </c>
      <c r="BA19" s="1">
        <v>4153</v>
      </c>
      <c r="BB19" s="1">
        <v>4242</v>
      </c>
      <c r="BC19" s="1">
        <v>9.5</v>
      </c>
      <c r="BE19" s="1">
        <v>4230</v>
      </c>
      <c r="BF19" s="1">
        <v>4348</v>
      </c>
      <c r="BG19" s="1">
        <v>9.5</v>
      </c>
    </row>
    <row r="20" spans="1:5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X20" s="1"/>
      <c r="Y20" s="1">
        <v>3100</v>
      </c>
      <c r="Z20" s="1">
        <v>9999</v>
      </c>
      <c r="AA20" s="1">
        <v>100</v>
      </c>
      <c r="AB20" s="2"/>
      <c r="AC20" s="2">
        <v>3120</v>
      </c>
      <c r="AD20" s="2">
        <v>3200</v>
      </c>
      <c r="AE20" s="1">
        <v>10</v>
      </c>
      <c r="AF20" s="1"/>
      <c r="AG20" s="2">
        <f t="shared" si="11"/>
        <v>3140</v>
      </c>
      <c r="AH20" s="2">
        <f t="shared" si="0"/>
        <v>3220</v>
      </c>
      <c r="AI20" s="1">
        <f t="shared" si="1"/>
        <v>10</v>
      </c>
      <c r="AK20" s="9">
        <f t="shared" si="12"/>
        <v>3160</v>
      </c>
      <c r="AL20" s="9">
        <f t="shared" si="13"/>
        <v>3240</v>
      </c>
      <c r="AM20" s="4">
        <f t="shared" si="2"/>
        <v>10</v>
      </c>
      <c r="AO20" s="2">
        <f t="shared" si="14"/>
        <v>3180</v>
      </c>
      <c r="AP20" s="2">
        <f t="shared" si="3"/>
        <v>3260</v>
      </c>
      <c r="AQ20" s="1">
        <f t="shared" si="4"/>
        <v>10</v>
      </c>
      <c r="AS20" s="2">
        <f t="shared" si="15"/>
        <v>3200</v>
      </c>
      <c r="AT20" s="2">
        <f t="shared" si="5"/>
        <v>3280</v>
      </c>
      <c r="AU20" s="1">
        <f t="shared" si="6"/>
        <v>10</v>
      </c>
      <c r="AW20" s="2">
        <f t="shared" si="16"/>
        <v>3220</v>
      </c>
      <c r="AX20" s="2">
        <f t="shared" si="7"/>
        <v>3300</v>
      </c>
      <c r="AY20" s="1">
        <f t="shared" si="8"/>
        <v>10</v>
      </c>
      <c r="BA20" s="1">
        <v>4242</v>
      </c>
      <c r="BB20" s="1">
        <v>4376</v>
      </c>
      <c r="BC20" s="1">
        <v>10</v>
      </c>
      <c r="BE20" s="1">
        <v>4348</v>
      </c>
      <c r="BF20" s="1">
        <v>4526</v>
      </c>
      <c r="BG20" s="1">
        <v>10</v>
      </c>
    </row>
    <row r="21" spans="1:59" x14ac:dyDescent="0.25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B21" s="1"/>
      <c r="AC21" s="2">
        <v>3200</v>
      </c>
      <c r="AD21" s="1">
        <v>9999</v>
      </c>
      <c r="AE21" s="1">
        <v>100</v>
      </c>
      <c r="AF21" s="1"/>
      <c r="AG21" s="2">
        <f>AC21+20</f>
        <v>3220</v>
      </c>
      <c r="AH21" s="2">
        <f>AH20+80</f>
        <v>3300</v>
      </c>
      <c r="AI21" s="1">
        <v>10.5</v>
      </c>
      <c r="AJ21" s="1"/>
      <c r="AK21" s="9">
        <f t="shared" si="12"/>
        <v>3240</v>
      </c>
      <c r="AL21" s="9">
        <f t="shared" si="13"/>
        <v>3320</v>
      </c>
      <c r="AM21" s="4">
        <f t="shared" si="2"/>
        <v>10.5</v>
      </c>
      <c r="AO21" s="2">
        <f t="shared" si="14"/>
        <v>3260</v>
      </c>
      <c r="AP21" s="2">
        <f t="shared" si="3"/>
        <v>3340</v>
      </c>
      <c r="AQ21" s="1">
        <f t="shared" si="4"/>
        <v>10.5</v>
      </c>
      <c r="AS21" s="2">
        <f t="shared" si="15"/>
        <v>3280</v>
      </c>
      <c r="AT21" s="2">
        <f t="shared" si="5"/>
        <v>3360</v>
      </c>
      <c r="AU21" s="1">
        <f t="shared" si="6"/>
        <v>10.5</v>
      </c>
      <c r="AW21" s="2">
        <f t="shared" si="16"/>
        <v>3300</v>
      </c>
      <c r="AX21" s="2">
        <f t="shared" si="7"/>
        <v>3380</v>
      </c>
      <c r="AY21" s="1">
        <f t="shared" si="8"/>
        <v>10.5</v>
      </c>
      <c r="BA21" s="1">
        <v>4376</v>
      </c>
      <c r="BB21" s="1">
        <v>4526</v>
      </c>
      <c r="BC21" s="1">
        <v>10.5</v>
      </c>
      <c r="BE21" s="1">
        <v>4526</v>
      </c>
      <c r="BF21" s="1">
        <v>4726</v>
      </c>
      <c r="BG21" s="1">
        <v>10.5</v>
      </c>
    </row>
    <row r="22" spans="1:59" x14ac:dyDescent="0.25">
      <c r="I22" s="1"/>
      <c r="J22" s="1"/>
      <c r="K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"/>
      <c r="AD22" s="2"/>
      <c r="AE22" s="1"/>
      <c r="AF22" s="1"/>
      <c r="AG22" s="2">
        <f>AG21+80</f>
        <v>3300</v>
      </c>
      <c r="AH22" s="2">
        <f>AH21+80</f>
        <v>3380</v>
      </c>
      <c r="AI22" s="1">
        <v>11</v>
      </c>
      <c r="AJ22" s="1"/>
      <c r="AK22" s="9">
        <f t="shared" si="12"/>
        <v>3320</v>
      </c>
      <c r="AL22" s="9">
        <f>AH22+20</f>
        <v>3400</v>
      </c>
      <c r="AM22" s="4">
        <f t="shared" si="2"/>
        <v>11</v>
      </c>
      <c r="AO22" s="2">
        <f t="shared" si="14"/>
        <v>3340</v>
      </c>
      <c r="AP22" s="2">
        <f t="shared" si="3"/>
        <v>3420</v>
      </c>
      <c r="AQ22" s="1">
        <f t="shared" si="4"/>
        <v>11</v>
      </c>
      <c r="AS22" s="2">
        <f t="shared" si="15"/>
        <v>3360</v>
      </c>
      <c r="AT22" s="2">
        <f t="shared" si="5"/>
        <v>3440</v>
      </c>
      <c r="AU22" s="1">
        <f t="shared" si="6"/>
        <v>11</v>
      </c>
      <c r="AW22" s="2">
        <f t="shared" si="16"/>
        <v>3380</v>
      </c>
      <c r="AX22" s="2">
        <f t="shared" si="7"/>
        <v>3460</v>
      </c>
      <c r="AY22" s="1">
        <f t="shared" si="8"/>
        <v>11</v>
      </c>
      <c r="BA22" s="1">
        <v>4526</v>
      </c>
      <c r="BB22" s="1">
        <v>4676</v>
      </c>
      <c r="BC22" s="1">
        <v>11</v>
      </c>
      <c r="BE22" s="1">
        <v>4726</v>
      </c>
      <c r="BF22" s="1">
        <v>4926</v>
      </c>
      <c r="BG22" s="1">
        <v>11</v>
      </c>
    </row>
    <row r="23" spans="1:59" x14ac:dyDescent="0.25">
      <c r="I23" s="1"/>
      <c r="J23" s="1"/>
      <c r="K23" s="1"/>
      <c r="P23" s="1"/>
      <c r="T23" s="1"/>
      <c r="X23" s="1"/>
      <c r="AB23" s="1"/>
      <c r="AF23" s="1"/>
      <c r="AG23" s="2">
        <f>AG22+80</f>
        <v>3380</v>
      </c>
      <c r="AH23" s="1">
        <v>9999</v>
      </c>
      <c r="AI23" s="1">
        <v>100</v>
      </c>
      <c r="AJ23" s="1"/>
      <c r="AK23" s="9">
        <f t="shared" si="12"/>
        <v>3400</v>
      </c>
      <c r="AL23" s="9">
        <f>AL22+80</f>
        <v>3480</v>
      </c>
      <c r="AM23" s="4">
        <v>11.5</v>
      </c>
      <c r="AO23" s="2">
        <f t="shared" si="14"/>
        <v>3420</v>
      </c>
      <c r="AP23" s="2">
        <f t="shared" si="3"/>
        <v>3500</v>
      </c>
      <c r="AQ23" s="1">
        <f t="shared" si="4"/>
        <v>11.5</v>
      </c>
      <c r="AS23" s="2">
        <f t="shared" si="15"/>
        <v>3440</v>
      </c>
      <c r="AT23" s="2">
        <f t="shared" si="5"/>
        <v>3520</v>
      </c>
      <c r="AU23" s="1">
        <f t="shared" si="6"/>
        <v>11.5</v>
      </c>
      <c r="AW23" s="2">
        <f t="shared" si="16"/>
        <v>3460</v>
      </c>
      <c r="AX23" s="2">
        <f t="shared" si="7"/>
        <v>3540</v>
      </c>
      <c r="AY23" s="1">
        <f t="shared" si="8"/>
        <v>11.5</v>
      </c>
      <c r="BA23" s="1">
        <v>4676</v>
      </c>
      <c r="BB23" s="1">
        <v>9999</v>
      </c>
      <c r="BC23" s="1">
        <v>100</v>
      </c>
      <c r="BE23" s="1">
        <v>4926</v>
      </c>
      <c r="BF23" s="1">
        <v>9999</v>
      </c>
      <c r="BG23" s="1">
        <v>100</v>
      </c>
    </row>
    <row r="24" spans="1:59" x14ac:dyDescent="0.25">
      <c r="I24" s="1"/>
      <c r="J24" s="1"/>
      <c r="K24" s="1"/>
      <c r="P24" s="1"/>
      <c r="T24" s="1"/>
      <c r="U24" s="1"/>
      <c r="V24" s="1"/>
      <c r="W24" s="1"/>
      <c r="X24" s="1"/>
      <c r="Y24" s="1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>
        <f>AK23+80</f>
        <v>3480</v>
      </c>
      <c r="AL24" s="9">
        <v>9999</v>
      </c>
      <c r="AM24" s="4">
        <v>100</v>
      </c>
      <c r="AO24" s="2">
        <f t="shared" si="14"/>
        <v>3500</v>
      </c>
      <c r="AP24" s="2">
        <f>AP23+80</f>
        <v>3580</v>
      </c>
      <c r="AQ24" s="1">
        <v>12</v>
      </c>
      <c r="AS24" s="2">
        <f t="shared" si="15"/>
        <v>3520</v>
      </c>
      <c r="AT24" s="2">
        <f t="shared" si="5"/>
        <v>3600</v>
      </c>
      <c r="AU24" s="1">
        <f t="shared" si="6"/>
        <v>12</v>
      </c>
      <c r="AW24" s="2">
        <f t="shared" si="16"/>
        <v>3540</v>
      </c>
      <c r="AX24" s="2">
        <f t="shared" si="7"/>
        <v>3620</v>
      </c>
      <c r="AY24" s="1">
        <f t="shared" si="8"/>
        <v>12</v>
      </c>
    </row>
    <row r="25" spans="1:59" x14ac:dyDescent="0.25">
      <c r="Y25" s="1"/>
      <c r="Z25" s="2"/>
      <c r="AA25" s="1"/>
      <c r="AB25" s="8"/>
      <c r="AO25" s="2">
        <f>AP24</f>
        <v>3580</v>
      </c>
      <c r="AP25" s="1">
        <v>9999</v>
      </c>
      <c r="AQ25" s="1">
        <v>100</v>
      </c>
      <c r="AS25" s="2">
        <f t="shared" si="15"/>
        <v>3600</v>
      </c>
      <c r="AT25" s="2">
        <f>AT24+80</f>
        <v>3680</v>
      </c>
      <c r="AU25" s="1">
        <v>12.5</v>
      </c>
      <c r="AW25" s="2">
        <f t="shared" si="16"/>
        <v>3620</v>
      </c>
      <c r="AX25" s="2">
        <f t="shared" si="7"/>
        <v>3700</v>
      </c>
      <c r="AY25" s="1">
        <f t="shared" si="8"/>
        <v>12.5</v>
      </c>
    </row>
    <row r="26" spans="1:59" x14ac:dyDescent="0.25">
      <c r="Y26" s="1"/>
      <c r="Z26" s="2"/>
      <c r="AA26" s="1"/>
      <c r="AS26" s="2">
        <f>AT25</f>
        <v>3680</v>
      </c>
      <c r="AT26" s="1">
        <v>9999</v>
      </c>
      <c r="AU26" s="1">
        <v>100</v>
      </c>
      <c r="AW26" s="2">
        <f t="shared" si="16"/>
        <v>3700</v>
      </c>
      <c r="AX26" s="2">
        <f>AX25+80</f>
        <v>3780</v>
      </c>
      <c r="AY26" s="1">
        <v>13</v>
      </c>
    </row>
    <row r="27" spans="1:59" x14ac:dyDescent="0.25">
      <c r="AW27" s="2">
        <f>AX26</f>
        <v>3780</v>
      </c>
      <c r="AX27" s="1">
        <v>9999</v>
      </c>
      <c r="AY27" s="1">
        <v>100</v>
      </c>
    </row>
    <row r="28" spans="1:59" x14ac:dyDescent="0.25">
      <c r="Y28" s="1"/>
      <c r="Z28" s="2"/>
      <c r="AA28" s="1"/>
    </row>
    <row r="29" spans="1:59" x14ac:dyDescent="0.25">
      <c r="Y29" s="1"/>
      <c r="Z29" s="2"/>
      <c r="AA29" s="1"/>
    </row>
    <row r="30" spans="1:59" x14ac:dyDescent="0.25">
      <c r="Y30" s="1"/>
      <c r="Z30" s="2"/>
      <c r="AA30" s="1"/>
    </row>
    <row r="31" spans="1:59" x14ac:dyDescent="0.25">
      <c r="Y31" s="1"/>
      <c r="Z31" s="2"/>
      <c r="AA31" s="1"/>
    </row>
    <row r="32" spans="1:59" x14ac:dyDescent="0.25">
      <c r="Y32" s="1"/>
      <c r="Z32" s="2"/>
      <c r="AA32" s="1"/>
    </row>
    <row r="33" spans="25:27" x14ac:dyDescent="0.25">
      <c r="Y33" s="1"/>
      <c r="Z33" s="2"/>
      <c r="AA33" s="1"/>
    </row>
    <row r="34" spans="25:27" x14ac:dyDescent="0.25">
      <c r="Y34" s="1"/>
      <c r="Z34" s="2"/>
      <c r="AA34" s="1"/>
    </row>
    <row r="35" spans="25:27" x14ac:dyDescent="0.25">
      <c r="Y35" s="1"/>
      <c r="Z35" s="2"/>
      <c r="AA35" s="1"/>
    </row>
    <row r="36" spans="25:27" x14ac:dyDescent="0.25">
      <c r="Y36" s="1"/>
      <c r="Z36" s="2"/>
      <c r="AA36" s="1"/>
    </row>
    <row r="37" spans="25:27" x14ac:dyDescent="0.25">
      <c r="Y37" s="1"/>
      <c r="Z37" s="2"/>
      <c r="AA37" s="1"/>
    </row>
    <row r="38" spans="25:27" x14ac:dyDescent="0.25">
      <c r="Y38" s="1"/>
      <c r="Z38" s="2"/>
      <c r="AA38" s="1"/>
    </row>
    <row r="39" spans="25:27" x14ac:dyDescent="0.25">
      <c r="Y39" s="1"/>
      <c r="Z39" s="2"/>
      <c r="AA39" s="1"/>
    </row>
    <row r="40" spans="25:27" x14ac:dyDescent="0.25">
      <c r="Y40" s="1"/>
      <c r="Z40" s="2"/>
      <c r="AA40" s="1"/>
    </row>
    <row r="41" spans="25:27" x14ac:dyDescent="0.25">
      <c r="Z41" s="2"/>
    </row>
    <row r="42" spans="25:27" x14ac:dyDescent="0.25">
      <c r="Z42" s="2"/>
    </row>
    <row r="43" spans="25:27" x14ac:dyDescent="0.25">
      <c r="Z43" s="2"/>
    </row>
  </sheetData>
  <mergeCells count="15">
    <mergeCell ref="U1:W1"/>
    <mergeCell ref="Y1:AA1"/>
    <mergeCell ref="AC1:AE1"/>
    <mergeCell ref="AG1:AI1"/>
    <mergeCell ref="A1:C1"/>
    <mergeCell ref="E1:G1"/>
    <mergeCell ref="I1:K1"/>
    <mergeCell ref="M1:O1"/>
    <mergeCell ref="Q1:S1"/>
    <mergeCell ref="BE1:BG1"/>
    <mergeCell ref="AK1:AM1"/>
    <mergeCell ref="AO1:AQ1"/>
    <mergeCell ref="AS1:AU1"/>
    <mergeCell ref="AW1:AY1"/>
    <mergeCell ref="BA1:B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E7EA-94F0-4A59-BD34-26F0DFBCAE01}">
  <dimension ref="A1:BG60"/>
  <sheetViews>
    <sheetView topLeftCell="G1" workbookViewId="0">
      <selection activeCell="AA3" sqref="AA3:AA20"/>
    </sheetView>
  </sheetViews>
  <sheetFormatPr baseColWidth="10" defaultRowHeight="15" x14ac:dyDescent="0.25"/>
  <cols>
    <col min="5" max="5" width="13" customWidth="1"/>
    <col min="6" max="6" width="12.140625" customWidth="1"/>
    <col min="7" max="7" width="17.85546875" customWidth="1"/>
    <col min="11" max="11" width="18" customWidth="1"/>
  </cols>
  <sheetData>
    <row r="1" spans="1:59" x14ac:dyDescent="0.25">
      <c r="A1" s="11" t="s">
        <v>3</v>
      </c>
      <c r="B1" s="11"/>
      <c r="C1" s="11"/>
      <c r="E1" s="11" t="s">
        <v>4</v>
      </c>
      <c r="F1" s="11"/>
      <c r="G1" s="11"/>
      <c r="I1" s="11" t="s">
        <v>5</v>
      </c>
      <c r="J1" s="11"/>
      <c r="K1" s="11"/>
      <c r="M1" s="11" t="s">
        <v>6</v>
      </c>
      <c r="N1" s="11"/>
      <c r="O1" s="11"/>
      <c r="Q1" s="11" t="s">
        <v>7</v>
      </c>
      <c r="R1" s="11"/>
      <c r="S1" s="11"/>
      <c r="U1" s="11" t="s">
        <v>8</v>
      </c>
      <c r="V1" s="11"/>
      <c r="W1" s="11"/>
      <c r="Y1" s="11" t="s">
        <v>9</v>
      </c>
      <c r="Z1" s="11"/>
      <c r="AA1" s="11"/>
      <c r="AC1" s="11" t="s">
        <v>10</v>
      </c>
      <c r="AD1" s="11"/>
      <c r="AE1" s="11"/>
      <c r="AG1" s="11" t="s">
        <v>11</v>
      </c>
      <c r="AH1" s="11"/>
      <c r="AI1" s="11"/>
      <c r="AK1" s="11" t="s">
        <v>82</v>
      </c>
      <c r="AL1" s="11"/>
      <c r="AM1" s="11"/>
      <c r="AO1" s="11" t="s">
        <v>57</v>
      </c>
      <c r="AP1" s="11"/>
      <c r="AQ1" s="11"/>
      <c r="AS1" s="11" t="s">
        <v>86</v>
      </c>
      <c r="AT1" s="11"/>
      <c r="AU1" s="11"/>
      <c r="AW1" s="11" t="s">
        <v>58</v>
      </c>
      <c r="AX1" s="11"/>
      <c r="AY1" s="11"/>
      <c r="BA1" s="11" t="s">
        <v>59</v>
      </c>
      <c r="BB1" s="11"/>
      <c r="BC1" s="11"/>
      <c r="BE1" s="11" t="s">
        <v>60</v>
      </c>
      <c r="BF1" s="11"/>
      <c r="BG1" s="11"/>
    </row>
    <row r="2" spans="1:59" x14ac:dyDescent="0.25">
      <c r="A2" s="1" t="s">
        <v>77</v>
      </c>
      <c r="B2" s="1" t="s">
        <v>78</v>
      </c>
      <c r="C2" s="1" t="s">
        <v>79</v>
      </c>
      <c r="E2" s="1" t="s">
        <v>12</v>
      </c>
      <c r="F2" s="1" t="s">
        <v>14</v>
      </c>
      <c r="G2" s="1" t="s">
        <v>15</v>
      </c>
      <c r="I2" s="1" t="s">
        <v>16</v>
      </c>
      <c r="J2" s="1" t="s">
        <v>13</v>
      </c>
      <c r="K2" s="1" t="s">
        <v>17</v>
      </c>
      <c r="M2" s="1" t="s">
        <v>18</v>
      </c>
      <c r="N2" s="1" t="s">
        <v>19</v>
      </c>
      <c r="O2" s="1" t="s">
        <v>20</v>
      </c>
      <c r="Q2" s="1" t="s">
        <v>21</v>
      </c>
      <c r="R2" s="1" t="s">
        <v>22</v>
      </c>
      <c r="S2" s="1" t="s">
        <v>23</v>
      </c>
      <c r="U2" s="1" t="s">
        <v>24</v>
      </c>
      <c r="V2" s="1" t="s">
        <v>25</v>
      </c>
      <c r="W2" s="1" t="s">
        <v>26</v>
      </c>
      <c r="Y2" s="1" t="s">
        <v>27</v>
      </c>
      <c r="Z2" s="1" t="s">
        <v>28</v>
      </c>
      <c r="AA2" s="1" t="s">
        <v>29</v>
      </c>
      <c r="AC2" s="1" t="s">
        <v>30</v>
      </c>
      <c r="AD2" s="1" t="s">
        <v>31</v>
      </c>
      <c r="AE2" s="1" t="s">
        <v>32</v>
      </c>
      <c r="AG2" s="1" t="s">
        <v>33</v>
      </c>
      <c r="AH2" s="1" t="s">
        <v>34</v>
      </c>
      <c r="AI2" s="1" t="s">
        <v>35</v>
      </c>
      <c r="AK2" s="1" t="s">
        <v>83</v>
      </c>
      <c r="AL2" s="1" t="s">
        <v>84</v>
      </c>
      <c r="AM2" s="1" t="s">
        <v>85</v>
      </c>
      <c r="AO2" s="1" t="s">
        <v>61</v>
      </c>
      <c r="AP2" s="1" t="s">
        <v>62</v>
      </c>
      <c r="AQ2" s="1" t="s">
        <v>63</v>
      </c>
      <c r="AS2" s="1" t="s">
        <v>87</v>
      </c>
      <c r="AT2" s="1" t="s">
        <v>88</v>
      </c>
      <c r="AU2" s="1" t="s">
        <v>89</v>
      </c>
      <c r="AW2" s="1" t="s">
        <v>64</v>
      </c>
      <c r="AX2" s="1" t="s">
        <v>65</v>
      </c>
      <c r="AY2" s="1" t="s">
        <v>66</v>
      </c>
      <c r="BA2" s="1" t="s">
        <v>67</v>
      </c>
      <c r="BB2" s="1" t="s">
        <v>68</v>
      </c>
      <c r="BC2" s="1" t="s">
        <v>69</v>
      </c>
      <c r="BE2" s="1" t="s">
        <v>70</v>
      </c>
      <c r="BF2" s="1" t="s">
        <v>71</v>
      </c>
      <c r="BG2" s="1" t="s">
        <v>72</v>
      </c>
    </row>
    <row r="3" spans="1:59" x14ac:dyDescent="0.25">
      <c r="A3" s="1">
        <v>0</v>
      </c>
      <c r="B3" s="1">
        <v>1541</v>
      </c>
      <c r="C3" s="1">
        <v>1</v>
      </c>
      <c r="D3" s="1"/>
      <c r="E3" s="1">
        <v>0</v>
      </c>
      <c r="F3" s="1">
        <v>1541</v>
      </c>
      <c r="G3" s="1">
        <v>0</v>
      </c>
      <c r="H3" s="1"/>
      <c r="I3" s="1">
        <v>0</v>
      </c>
      <c r="J3" s="1">
        <f>F3+20</f>
        <v>1561</v>
      </c>
      <c r="K3" s="1">
        <f>G3</f>
        <v>0</v>
      </c>
      <c r="L3" s="1"/>
      <c r="M3" s="1">
        <v>0</v>
      </c>
      <c r="N3" s="1">
        <v>1665</v>
      </c>
      <c r="O3" s="1">
        <v>0</v>
      </c>
      <c r="P3" s="1"/>
      <c r="Q3" s="1">
        <v>0</v>
      </c>
      <c r="R3" s="1">
        <v>1690</v>
      </c>
      <c r="S3" s="1">
        <v>0</v>
      </c>
      <c r="T3" s="1"/>
      <c r="U3" s="1">
        <v>0</v>
      </c>
      <c r="V3" s="1">
        <v>1700</v>
      </c>
      <c r="W3" s="1">
        <v>0</v>
      </c>
      <c r="X3" s="1"/>
      <c r="Y3" s="1">
        <v>0</v>
      </c>
      <c r="Z3" s="1">
        <v>1820</v>
      </c>
      <c r="AA3" s="1">
        <v>0.5</v>
      </c>
      <c r="AB3" s="1">
        <f>MAX(AA3-2.5,0)</f>
        <v>0</v>
      </c>
      <c r="AC3" s="1">
        <v>0</v>
      </c>
      <c r="AD3" s="2">
        <v>1840</v>
      </c>
      <c r="AE3" s="1">
        <v>0.5</v>
      </c>
      <c r="AF3" s="1"/>
      <c r="AG3" s="1">
        <v>0</v>
      </c>
      <c r="AH3" s="2">
        <f>AD3+20</f>
        <v>1860</v>
      </c>
      <c r="AI3" s="1">
        <f>AE3</f>
        <v>0.5</v>
      </c>
      <c r="AK3" s="4">
        <v>0</v>
      </c>
      <c r="AL3" s="9">
        <f>AH3+20</f>
        <v>1880</v>
      </c>
      <c r="AM3" s="4">
        <f>AI3</f>
        <v>0.5</v>
      </c>
      <c r="AO3" s="1">
        <v>0</v>
      </c>
      <c r="AP3" s="2">
        <f>AL3+20</f>
        <v>1900</v>
      </c>
      <c r="AQ3" s="1">
        <f>AM3</f>
        <v>0.5</v>
      </c>
      <c r="AS3" s="1">
        <v>0</v>
      </c>
      <c r="AT3" s="2">
        <f>AP3+20</f>
        <v>1920</v>
      </c>
      <c r="AU3" s="1">
        <f>AQ3</f>
        <v>0.5</v>
      </c>
      <c r="AW3" s="1">
        <v>0</v>
      </c>
      <c r="AX3" s="2">
        <f>AT3+20</f>
        <v>1940</v>
      </c>
      <c r="AY3" s="1">
        <f>AU3</f>
        <v>0.5</v>
      </c>
      <c r="BA3" s="1">
        <v>0</v>
      </c>
      <c r="BB3" s="1">
        <f>AX3+100</f>
        <v>2040</v>
      </c>
      <c r="BC3" s="1">
        <v>1</v>
      </c>
      <c r="BE3" s="1">
        <v>0</v>
      </c>
      <c r="BF3" s="1">
        <f>BB3+97</f>
        <v>2137</v>
      </c>
      <c r="BG3" s="1">
        <v>1</v>
      </c>
    </row>
    <row r="4" spans="1:59" x14ac:dyDescent="0.25">
      <c r="A4" s="1">
        <f>B3</f>
        <v>1541</v>
      </c>
      <c r="B4" s="1">
        <v>1614</v>
      </c>
      <c r="C4" s="1">
        <v>1.5</v>
      </c>
      <c r="D4" s="1"/>
      <c r="E4" s="1">
        <f>F3</f>
        <v>1541</v>
      </c>
      <c r="F4" s="1">
        <v>1614</v>
      </c>
      <c r="G4" s="1">
        <v>0.4</v>
      </c>
      <c r="H4" s="1"/>
      <c r="I4" s="1">
        <f>E4+10</f>
        <v>1551</v>
      </c>
      <c r="J4" s="1">
        <f>F4+10</f>
        <v>1624</v>
      </c>
      <c r="K4" s="1">
        <v>0.5</v>
      </c>
      <c r="L4" s="1"/>
      <c r="M4" s="1">
        <v>1665</v>
      </c>
      <c r="N4" s="1">
        <v>1760</v>
      </c>
      <c r="O4" s="1">
        <v>1.5</v>
      </c>
      <c r="P4" s="1"/>
      <c r="Q4" s="1">
        <v>1690</v>
      </c>
      <c r="R4" s="1">
        <v>1780</v>
      </c>
      <c r="S4" s="1">
        <v>1</v>
      </c>
      <c r="T4" s="1"/>
      <c r="U4" s="1">
        <v>1700</v>
      </c>
      <c r="V4" s="1">
        <v>1790</v>
      </c>
      <c r="W4" s="1">
        <v>0.5</v>
      </c>
      <c r="X4" s="1"/>
      <c r="Y4" s="1">
        <v>1820</v>
      </c>
      <c r="Z4" s="1">
        <v>1900</v>
      </c>
      <c r="AA4" s="1">
        <v>1</v>
      </c>
      <c r="AB4" s="1">
        <f t="shared" ref="AB4:AB19" si="0">MAX(AA4-2.5,0)</f>
        <v>0</v>
      </c>
      <c r="AC4" s="2">
        <v>1840</v>
      </c>
      <c r="AD4" s="2">
        <v>1920</v>
      </c>
      <c r="AE4" s="1">
        <v>1</v>
      </c>
      <c r="AF4" s="1"/>
      <c r="AG4" s="2">
        <f>AC4+20</f>
        <v>1860</v>
      </c>
      <c r="AH4" s="2">
        <f t="shared" ref="AH4:AH20" si="1">AD4+20</f>
        <v>1940</v>
      </c>
      <c r="AI4" s="1">
        <f t="shared" ref="AI4:AI20" si="2">AE4</f>
        <v>1</v>
      </c>
      <c r="AK4" s="9">
        <f>AG4+20</f>
        <v>1880</v>
      </c>
      <c r="AL4" s="9">
        <f>AH4+20</f>
        <v>1960</v>
      </c>
      <c r="AM4" s="4">
        <f t="shared" ref="AM4:AM22" si="3">AI4</f>
        <v>1</v>
      </c>
      <c r="AO4" s="2">
        <f>AK4+20</f>
        <v>1900</v>
      </c>
      <c r="AP4" s="2">
        <f t="shared" ref="AP4:AP23" si="4">AL4+20</f>
        <v>1980</v>
      </c>
      <c r="AQ4" s="1">
        <f t="shared" ref="AQ4:AQ23" si="5">AM4</f>
        <v>1</v>
      </c>
      <c r="AS4" s="2">
        <f>AO4+20</f>
        <v>1920</v>
      </c>
      <c r="AT4" s="2">
        <f t="shared" ref="AT4:AT24" si="6">AP4+20</f>
        <v>2000</v>
      </c>
      <c r="AU4" s="1">
        <f t="shared" ref="AU4:AU24" si="7">AQ4</f>
        <v>1</v>
      </c>
      <c r="AW4" s="2">
        <f>AS4+20</f>
        <v>1940</v>
      </c>
      <c r="AX4" s="2">
        <f t="shared" ref="AX4:AX25" si="8">AT4+20</f>
        <v>2020</v>
      </c>
      <c r="AY4" s="1">
        <f t="shared" ref="AY4:AY25" si="9">AU4</f>
        <v>1</v>
      </c>
      <c r="BA4" s="1">
        <v>2554</v>
      </c>
      <c r="BB4" s="1">
        <v>2717</v>
      </c>
      <c r="BC4" s="1">
        <v>1.5</v>
      </c>
      <c r="BE4" s="1">
        <v>2651</v>
      </c>
      <c r="BF4" s="1">
        <v>2814</v>
      </c>
      <c r="BG4" s="1">
        <v>1.5</v>
      </c>
    </row>
    <row r="5" spans="1:59" x14ac:dyDescent="0.25">
      <c r="A5" s="1">
        <f>B4</f>
        <v>1614</v>
      </c>
      <c r="B5" s="1">
        <v>1757</v>
      </c>
      <c r="C5" s="1">
        <v>2.4</v>
      </c>
      <c r="D5" s="1"/>
      <c r="E5" s="1">
        <f>F4</f>
        <v>1614</v>
      </c>
      <c r="F5" s="1">
        <v>1757</v>
      </c>
      <c r="G5" s="1">
        <v>1.5</v>
      </c>
      <c r="H5" s="1"/>
      <c r="I5" s="1">
        <f>E5+10</f>
        <v>1624</v>
      </c>
      <c r="J5" s="1">
        <f t="shared" ref="J5:J14" si="10">F5+10</f>
        <v>1767</v>
      </c>
      <c r="K5" s="1">
        <f t="shared" ref="K5:K14" si="11">MAX(G5-0.5,0)</f>
        <v>1</v>
      </c>
      <c r="L5" s="1"/>
      <c r="M5" s="1">
        <v>1760</v>
      </c>
      <c r="N5" s="1">
        <v>1855</v>
      </c>
      <c r="O5" s="1">
        <v>2</v>
      </c>
      <c r="P5" s="1"/>
      <c r="Q5" s="1">
        <v>1780</v>
      </c>
      <c r="R5" s="1">
        <v>1870</v>
      </c>
      <c r="S5" s="1">
        <v>1.5</v>
      </c>
      <c r="T5" s="1"/>
      <c r="U5" s="1">
        <v>1790</v>
      </c>
      <c r="V5" s="1">
        <v>1880</v>
      </c>
      <c r="W5" s="1">
        <v>1</v>
      </c>
      <c r="X5" s="1"/>
      <c r="Y5" s="1">
        <v>1900</v>
      </c>
      <c r="Z5" s="1">
        <v>1980</v>
      </c>
      <c r="AA5" s="1">
        <v>1.5</v>
      </c>
      <c r="AB5" s="1">
        <f t="shared" si="0"/>
        <v>0</v>
      </c>
      <c r="AC5" s="2">
        <v>1920</v>
      </c>
      <c r="AD5" s="2">
        <v>2000</v>
      </c>
      <c r="AE5" s="1">
        <v>1.5</v>
      </c>
      <c r="AF5" s="1"/>
      <c r="AG5" s="2">
        <f t="shared" ref="AG5:AG20" si="12">AC5+20</f>
        <v>1940</v>
      </c>
      <c r="AH5" s="2">
        <f t="shared" si="1"/>
        <v>2020</v>
      </c>
      <c r="AI5" s="1">
        <f t="shared" si="2"/>
        <v>1.5</v>
      </c>
      <c r="AK5" s="9">
        <f t="shared" ref="AK5:AL23" si="13">AG5+20</f>
        <v>1960</v>
      </c>
      <c r="AL5" s="9">
        <f t="shared" si="13"/>
        <v>2040</v>
      </c>
      <c r="AM5" s="4">
        <f t="shared" si="3"/>
        <v>1.5</v>
      </c>
      <c r="AO5" s="2">
        <f t="shared" ref="AO5:AO24" si="14">AK5+20</f>
        <v>1980</v>
      </c>
      <c r="AP5" s="2">
        <f t="shared" si="4"/>
        <v>2060</v>
      </c>
      <c r="AQ5" s="1">
        <f t="shared" si="5"/>
        <v>1.5</v>
      </c>
      <c r="AS5" s="2">
        <f t="shared" ref="AS5:AS25" si="15">AO5+20</f>
        <v>2000</v>
      </c>
      <c r="AT5" s="2">
        <f t="shared" si="6"/>
        <v>2080</v>
      </c>
      <c r="AU5" s="1">
        <f t="shared" si="7"/>
        <v>1.5</v>
      </c>
      <c r="AW5" s="2">
        <f t="shared" ref="AW5:AW26" si="16">AS5+20</f>
        <v>2020</v>
      </c>
      <c r="AX5" s="2">
        <f t="shared" si="8"/>
        <v>2100</v>
      </c>
      <c r="AY5" s="1">
        <f t="shared" si="9"/>
        <v>1.5</v>
      </c>
      <c r="BA5" s="1">
        <v>2717</v>
      </c>
      <c r="BB5" s="1">
        <v>2880</v>
      </c>
      <c r="BC5" s="1">
        <v>2</v>
      </c>
      <c r="BE5" s="1">
        <v>2814</v>
      </c>
      <c r="BF5" s="1">
        <v>2977</v>
      </c>
      <c r="BG5" s="1">
        <v>2</v>
      </c>
    </row>
    <row r="6" spans="1:59" x14ac:dyDescent="0.25">
      <c r="A6" s="1">
        <f t="shared" ref="A6:A10" si="17">B5</f>
        <v>1757</v>
      </c>
      <c r="B6" s="1">
        <v>1897</v>
      </c>
      <c r="C6" s="1">
        <v>3</v>
      </c>
      <c r="D6" s="1"/>
      <c r="E6" s="1">
        <f t="shared" ref="E6:E10" si="18">F5</f>
        <v>1757</v>
      </c>
      <c r="F6" s="1">
        <v>1897</v>
      </c>
      <c r="G6" s="1">
        <v>2.5</v>
      </c>
      <c r="H6" s="1"/>
      <c r="I6" s="1">
        <f t="shared" ref="I6:I14" si="19">E6+10</f>
        <v>1767</v>
      </c>
      <c r="J6" s="1">
        <f t="shared" si="10"/>
        <v>1907</v>
      </c>
      <c r="K6" s="1">
        <f t="shared" si="11"/>
        <v>2</v>
      </c>
      <c r="L6" s="1"/>
      <c r="M6" s="1">
        <v>1855</v>
      </c>
      <c r="N6" s="1">
        <v>1950</v>
      </c>
      <c r="O6" s="1">
        <v>2.5</v>
      </c>
      <c r="P6" s="1"/>
      <c r="Q6" s="1">
        <v>1870</v>
      </c>
      <c r="R6" s="1">
        <v>1960</v>
      </c>
      <c r="S6" s="1">
        <v>2.5</v>
      </c>
      <c r="T6" s="1"/>
      <c r="U6" s="1">
        <v>1880</v>
      </c>
      <c r="V6" s="1">
        <v>1970</v>
      </c>
      <c r="W6" s="1">
        <v>1.7999999999999998</v>
      </c>
      <c r="X6" s="1"/>
      <c r="Y6" s="1">
        <v>1980</v>
      </c>
      <c r="Z6" s="1">
        <v>2060</v>
      </c>
      <c r="AA6" s="1">
        <v>2</v>
      </c>
      <c r="AB6" s="1">
        <f t="shared" si="0"/>
        <v>0</v>
      </c>
      <c r="AC6" s="2">
        <v>2000</v>
      </c>
      <c r="AD6" s="2">
        <v>2080</v>
      </c>
      <c r="AE6" s="1">
        <v>2</v>
      </c>
      <c r="AF6" s="1"/>
      <c r="AG6" s="2">
        <f t="shared" si="12"/>
        <v>2020</v>
      </c>
      <c r="AH6" s="2">
        <f t="shared" si="1"/>
        <v>2100</v>
      </c>
      <c r="AI6" s="1">
        <f t="shared" si="2"/>
        <v>2</v>
      </c>
      <c r="AK6" s="9">
        <f t="shared" si="13"/>
        <v>2040</v>
      </c>
      <c r="AL6" s="9">
        <f t="shared" si="13"/>
        <v>2120</v>
      </c>
      <c r="AM6" s="4">
        <f t="shared" si="3"/>
        <v>2</v>
      </c>
      <c r="AO6" s="2">
        <f t="shared" si="14"/>
        <v>2060</v>
      </c>
      <c r="AP6" s="2">
        <f t="shared" si="4"/>
        <v>2140</v>
      </c>
      <c r="AQ6" s="1">
        <f t="shared" si="5"/>
        <v>2</v>
      </c>
      <c r="AS6" s="2">
        <f t="shared" si="15"/>
        <v>2080</v>
      </c>
      <c r="AT6" s="2">
        <f t="shared" si="6"/>
        <v>2160</v>
      </c>
      <c r="AU6" s="1">
        <f t="shared" si="7"/>
        <v>2</v>
      </c>
      <c r="AW6" s="2">
        <f t="shared" si="16"/>
        <v>2100</v>
      </c>
      <c r="AX6" s="2">
        <f t="shared" si="8"/>
        <v>2180</v>
      </c>
      <c r="AY6" s="1">
        <f t="shared" si="9"/>
        <v>2</v>
      </c>
      <c r="BA6" s="1">
        <v>2880</v>
      </c>
      <c r="BB6" s="1">
        <v>3043</v>
      </c>
      <c r="BC6" s="1">
        <v>2.5</v>
      </c>
      <c r="BE6" s="1">
        <v>2977</v>
      </c>
      <c r="BF6" s="1">
        <v>3140</v>
      </c>
      <c r="BG6" s="1">
        <v>2.5</v>
      </c>
    </row>
    <row r="7" spans="1:59" x14ac:dyDescent="0.25">
      <c r="A7" s="1">
        <f t="shared" si="17"/>
        <v>1897</v>
      </c>
      <c r="B7" s="1">
        <v>2038</v>
      </c>
      <c r="C7" s="1">
        <v>3.8</v>
      </c>
      <c r="D7" s="1"/>
      <c r="E7" s="1">
        <f t="shared" si="18"/>
        <v>1897</v>
      </c>
      <c r="F7" s="1">
        <v>2038</v>
      </c>
      <c r="G7" s="1">
        <v>3.3</v>
      </c>
      <c r="H7" s="1"/>
      <c r="I7" s="1">
        <f t="shared" si="19"/>
        <v>1907</v>
      </c>
      <c r="J7" s="1">
        <f t="shared" si="10"/>
        <v>2048</v>
      </c>
      <c r="K7" s="1">
        <f t="shared" si="11"/>
        <v>2.8</v>
      </c>
      <c r="L7" s="1"/>
      <c r="M7" s="1">
        <v>1950</v>
      </c>
      <c r="N7" s="1">
        <v>2045</v>
      </c>
      <c r="O7" s="1">
        <v>3.5</v>
      </c>
      <c r="P7" s="1"/>
      <c r="Q7" s="1">
        <v>1960</v>
      </c>
      <c r="R7" s="1">
        <v>2050</v>
      </c>
      <c r="S7" s="1">
        <v>3</v>
      </c>
      <c r="T7" s="1"/>
      <c r="U7" s="1">
        <v>1970</v>
      </c>
      <c r="V7" s="1">
        <v>2060</v>
      </c>
      <c r="W7" s="1">
        <v>2.5</v>
      </c>
      <c r="X7" s="1"/>
      <c r="Y7" s="1">
        <v>2060</v>
      </c>
      <c r="Z7" s="1">
        <v>2140</v>
      </c>
      <c r="AA7" s="1">
        <v>3</v>
      </c>
      <c r="AB7" s="1">
        <f t="shared" si="0"/>
        <v>0.5</v>
      </c>
      <c r="AC7" s="2">
        <v>2080</v>
      </c>
      <c r="AD7" s="2">
        <v>2160</v>
      </c>
      <c r="AE7" s="1">
        <v>3.5</v>
      </c>
      <c r="AF7" s="1"/>
      <c r="AG7" s="2">
        <f t="shared" si="12"/>
        <v>2100</v>
      </c>
      <c r="AH7" s="2">
        <f t="shared" si="1"/>
        <v>2180</v>
      </c>
      <c r="AI7" s="1">
        <f t="shared" si="2"/>
        <v>3.5</v>
      </c>
      <c r="AK7" s="9">
        <f t="shared" si="13"/>
        <v>2120</v>
      </c>
      <c r="AL7" s="9">
        <f t="shared" si="13"/>
        <v>2200</v>
      </c>
      <c r="AM7" s="4">
        <f t="shared" si="3"/>
        <v>3.5</v>
      </c>
      <c r="AO7" s="2">
        <f t="shared" si="14"/>
        <v>2140</v>
      </c>
      <c r="AP7" s="2">
        <f t="shared" si="4"/>
        <v>2220</v>
      </c>
      <c r="AQ7" s="1">
        <f t="shared" si="5"/>
        <v>3.5</v>
      </c>
      <c r="AS7" s="2">
        <f t="shared" si="15"/>
        <v>2160</v>
      </c>
      <c r="AT7" s="2">
        <f t="shared" si="6"/>
        <v>2240</v>
      </c>
      <c r="AU7" s="1">
        <f t="shared" si="7"/>
        <v>3.5</v>
      </c>
      <c r="AW7" s="2">
        <f t="shared" si="16"/>
        <v>2180</v>
      </c>
      <c r="AX7" s="2">
        <f t="shared" si="8"/>
        <v>2260</v>
      </c>
      <c r="AY7" s="1">
        <f t="shared" si="9"/>
        <v>3.5</v>
      </c>
      <c r="BA7" s="1">
        <v>3043</v>
      </c>
      <c r="BB7" s="1">
        <v>3208</v>
      </c>
      <c r="BC7" s="1">
        <v>3.5</v>
      </c>
      <c r="BE7" s="1">
        <v>3140</v>
      </c>
      <c r="BF7" s="1">
        <v>3305</v>
      </c>
      <c r="BG7" s="1">
        <v>3</v>
      </c>
    </row>
    <row r="8" spans="1:59" x14ac:dyDescent="0.25">
      <c r="A8" s="1">
        <f t="shared" si="17"/>
        <v>2038</v>
      </c>
      <c r="B8" s="1">
        <v>2178</v>
      </c>
      <c r="C8" s="1">
        <v>5.0999999999999996</v>
      </c>
      <c r="D8" s="1"/>
      <c r="E8" s="1">
        <f t="shared" si="18"/>
        <v>2038</v>
      </c>
      <c r="F8" s="1">
        <v>2178</v>
      </c>
      <c r="G8" s="1">
        <v>5</v>
      </c>
      <c r="H8" s="1"/>
      <c r="I8" s="1">
        <f t="shared" si="19"/>
        <v>2048</v>
      </c>
      <c r="J8" s="1">
        <f t="shared" si="10"/>
        <v>2188</v>
      </c>
      <c r="K8" s="1">
        <f t="shared" si="11"/>
        <v>4.5</v>
      </c>
      <c r="L8" s="1"/>
      <c r="M8" s="1">
        <v>2045</v>
      </c>
      <c r="N8" s="1">
        <v>2140</v>
      </c>
      <c r="O8" s="1">
        <v>4.5</v>
      </c>
      <c r="P8" s="1"/>
      <c r="Q8" s="1">
        <v>2050</v>
      </c>
      <c r="R8" s="1">
        <v>2140</v>
      </c>
      <c r="S8" s="1">
        <v>3.5</v>
      </c>
      <c r="T8" s="1"/>
      <c r="U8" s="1">
        <v>2060</v>
      </c>
      <c r="V8" s="1">
        <v>2150</v>
      </c>
      <c r="W8" s="1">
        <v>3</v>
      </c>
      <c r="X8" s="1"/>
      <c r="Y8" s="1">
        <v>2140</v>
      </c>
      <c r="Z8" s="1">
        <v>2220</v>
      </c>
      <c r="AA8" s="1">
        <v>4</v>
      </c>
      <c r="AB8" s="1">
        <f t="shared" si="0"/>
        <v>1.5</v>
      </c>
      <c r="AC8" s="2">
        <v>2160</v>
      </c>
      <c r="AD8" s="2">
        <v>2240</v>
      </c>
      <c r="AE8" s="1">
        <v>4</v>
      </c>
      <c r="AF8" s="1"/>
      <c r="AG8" s="2">
        <f t="shared" si="12"/>
        <v>2180</v>
      </c>
      <c r="AH8" s="2">
        <f t="shared" si="1"/>
        <v>2260</v>
      </c>
      <c r="AI8" s="1">
        <f t="shared" si="2"/>
        <v>4</v>
      </c>
      <c r="AK8" s="9">
        <f t="shared" si="13"/>
        <v>2200</v>
      </c>
      <c r="AL8" s="9">
        <f t="shared" si="13"/>
        <v>2280</v>
      </c>
      <c r="AM8" s="4">
        <f t="shared" si="3"/>
        <v>4</v>
      </c>
      <c r="AO8" s="2">
        <f t="shared" si="14"/>
        <v>2220</v>
      </c>
      <c r="AP8" s="2">
        <f t="shared" si="4"/>
        <v>2300</v>
      </c>
      <c r="AQ8" s="1">
        <f t="shared" si="5"/>
        <v>4</v>
      </c>
      <c r="AS8" s="2">
        <f t="shared" si="15"/>
        <v>2240</v>
      </c>
      <c r="AT8" s="2">
        <f t="shared" si="6"/>
        <v>2320</v>
      </c>
      <c r="AU8" s="1">
        <f t="shared" si="7"/>
        <v>4</v>
      </c>
      <c r="AW8" s="2">
        <f t="shared" si="16"/>
        <v>2260</v>
      </c>
      <c r="AX8" s="2">
        <f t="shared" si="8"/>
        <v>2340</v>
      </c>
      <c r="AY8" s="1">
        <f t="shared" si="9"/>
        <v>4</v>
      </c>
      <c r="BA8" s="1">
        <v>3208</v>
      </c>
      <c r="BB8" s="1">
        <v>3373</v>
      </c>
      <c r="BC8" s="1">
        <v>4</v>
      </c>
      <c r="BE8" s="1">
        <v>3305</v>
      </c>
      <c r="BF8" s="1">
        <v>3371</v>
      </c>
      <c r="BG8" s="1">
        <v>3.5</v>
      </c>
    </row>
    <row r="9" spans="1:59" x14ac:dyDescent="0.25">
      <c r="A9" s="1">
        <f t="shared" si="17"/>
        <v>2178</v>
      </c>
      <c r="B9" s="1">
        <v>2259</v>
      </c>
      <c r="C9" s="1">
        <v>6.5</v>
      </c>
      <c r="D9" s="1"/>
      <c r="E9" s="1">
        <f t="shared" si="18"/>
        <v>2178</v>
      </c>
      <c r="F9" s="1">
        <v>2259</v>
      </c>
      <c r="G9" s="1">
        <v>6.5</v>
      </c>
      <c r="H9" s="1"/>
      <c r="I9" s="1">
        <f t="shared" si="19"/>
        <v>2188</v>
      </c>
      <c r="J9" s="1">
        <f t="shared" si="10"/>
        <v>2269</v>
      </c>
      <c r="K9" s="1">
        <f t="shared" si="11"/>
        <v>6</v>
      </c>
      <c r="L9" s="1"/>
      <c r="M9" s="1">
        <v>2140</v>
      </c>
      <c r="N9" s="1">
        <v>2235</v>
      </c>
      <c r="O9" s="1">
        <v>5.5</v>
      </c>
      <c r="P9" s="1"/>
      <c r="Q9" s="1">
        <v>2140</v>
      </c>
      <c r="R9" s="1">
        <v>2230</v>
      </c>
      <c r="S9" s="1">
        <v>4.5</v>
      </c>
      <c r="T9" s="1"/>
      <c r="U9" s="1">
        <v>2150</v>
      </c>
      <c r="V9" s="1">
        <v>2240</v>
      </c>
      <c r="W9" s="1">
        <v>3.5</v>
      </c>
      <c r="X9" s="1"/>
      <c r="Y9" s="1">
        <v>2220</v>
      </c>
      <c r="Z9" s="1">
        <v>2300</v>
      </c>
      <c r="AA9" s="1">
        <v>4.5</v>
      </c>
      <c r="AB9" s="1">
        <f t="shared" si="0"/>
        <v>2</v>
      </c>
      <c r="AC9" s="2">
        <v>2240</v>
      </c>
      <c r="AD9" s="2">
        <v>2320</v>
      </c>
      <c r="AE9" s="1">
        <v>4.5</v>
      </c>
      <c r="AF9" s="1"/>
      <c r="AG9" s="2">
        <f t="shared" si="12"/>
        <v>2260</v>
      </c>
      <c r="AH9" s="2">
        <f t="shared" si="1"/>
        <v>2340</v>
      </c>
      <c r="AI9" s="1">
        <f t="shared" si="2"/>
        <v>4.5</v>
      </c>
      <c r="AK9" s="9">
        <f t="shared" si="13"/>
        <v>2280</v>
      </c>
      <c r="AL9" s="9">
        <f t="shared" si="13"/>
        <v>2360</v>
      </c>
      <c r="AM9" s="4">
        <f t="shared" si="3"/>
        <v>4.5</v>
      </c>
      <c r="AO9" s="2">
        <f t="shared" si="14"/>
        <v>2300</v>
      </c>
      <c r="AP9" s="2">
        <f t="shared" si="4"/>
        <v>2380</v>
      </c>
      <c r="AQ9" s="1">
        <f t="shared" si="5"/>
        <v>4.5</v>
      </c>
      <c r="AS9" s="2">
        <f t="shared" si="15"/>
        <v>2320</v>
      </c>
      <c r="AT9" s="2">
        <f t="shared" si="6"/>
        <v>2400</v>
      </c>
      <c r="AU9" s="1">
        <f t="shared" si="7"/>
        <v>4.5</v>
      </c>
      <c r="AW9" s="2">
        <f t="shared" si="16"/>
        <v>2340</v>
      </c>
      <c r="AX9" s="2">
        <f t="shared" si="8"/>
        <v>2420</v>
      </c>
      <c r="AY9" s="1">
        <f t="shared" si="9"/>
        <v>4.5</v>
      </c>
      <c r="BA9" s="1">
        <v>3373</v>
      </c>
      <c r="BB9" s="1">
        <v>3574</v>
      </c>
      <c r="BC9" s="1">
        <v>4.5</v>
      </c>
      <c r="BE9" s="1">
        <v>3371</v>
      </c>
      <c r="BF9" s="1">
        <v>3505</v>
      </c>
      <c r="BG9" s="1">
        <v>4.5</v>
      </c>
    </row>
    <row r="10" spans="1:59" x14ac:dyDescent="0.25">
      <c r="A10" s="1">
        <f t="shared" si="17"/>
        <v>2259</v>
      </c>
      <c r="B10" s="1">
        <v>2341</v>
      </c>
      <c r="C10" s="1">
        <v>7</v>
      </c>
      <c r="D10" s="1"/>
      <c r="E10" s="1">
        <f t="shared" si="18"/>
        <v>2259</v>
      </c>
      <c r="F10" s="1">
        <v>2341</v>
      </c>
      <c r="G10" s="1">
        <v>7</v>
      </c>
      <c r="H10" s="1"/>
      <c r="I10" s="1">
        <f t="shared" si="19"/>
        <v>2269</v>
      </c>
      <c r="J10" s="1">
        <f t="shared" si="10"/>
        <v>2351</v>
      </c>
      <c r="K10" s="1">
        <f t="shared" si="11"/>
        <v>6.5</v>
      </c>
      <c r="L10" s="1"/>
      <c r="M10" s="1">
        <v>2235</v>
      </c>
      <c r="N10" s="1">
        <v>2330</v>
      </c>
      <c r="O10" s="1">
        <v>6</v>
      </c>
      <c r="P10" s="1"/>
      <c r="Q10" s="1">
        <v>2230</v>
      </c>
      <c r="R10" s="1">
        <v>2320</v>
      </c>
      <c r="S10" s="1">
        <v>5</v>
      </c>
      <c r="T10" s="1"/>
      <c r="U10" s="1">
        <v>2240</v>
      </c>
      <c r="V10" s="1">
        <v>2330</v>
      </c>
      <c r="W10" s="1">
        <v>4.5</v>
      </c>
      <c r="X10" s="1"/>
      <c r="Y10" s="1">
        <v>2300</v>
      </c>
      <c r="Z10" s="1">
        <v>2380</v>
      </c>
      <c r="AA10" s="1">
        <v>5</v>
      </c>
      <c r="AB10" s="1">
        <f t="shared" si="0"/>
        <v>2.5</v>
      </c>
      <c r="AC10" s="2">
        <v>2320</v>
      </c>
      <c r="AD10" s="2">
        <v>2400</v>
      </c>
      <c r="AE10" s="1">
        <v>5</v>
      </c>
      <c r="AF10" s="1"/>
      <c r="AG10" s="2">
        <f t="shared" si="12"/>
        <v>2340</v>
      </c>
      <c r="AH10" s="2">
        <f t="shared" si="1"/>
        <v>2420</v>
      </c>
      <c r="AI10" s="1">
        <f t="shared" si="2"/>
        <v>5</v>
      </c>
      <c r="AK10" s="9">
        <f t="shared" si="13"/>
        <v>2360</v>
      </c>
      <c r="AL10" s="9">
        <f t="shared" si="13"/>
        <v>2440</v>
      </c>
      <c r="AM10" s="4">
        <f t="shared" si="3"/>
        <v>5</v>
      </c>
      <c r="AO10" s="2">
        <f t="shared" si="14"/>
        <v>2380</v>
      </c>
      <c r="AP10" s="2">
        <f t="shared" si="4"/>
        <v>2460</v>
      </c>
      <c r="AQ10" s="1">
        <f t="shared" si="5"/>
        <v>5</v>
      </c>
      <c r="AS10" s="2">
        <f t="shared" si="15"/>
        <v>2400</v>
      </c>
      <c r="AT10" s="2">
        <f t="shared" si="6"/>
        <v>2480</v>
      </c>
      <c r="AU10" s="1">
        <f t="shared" si="7"/>
        <v>5</v>
      </c>
      <c r="AW10" s="2">
        <f t="shared" si="16"/>
        <v>2420</v>
      </c>
      <c r="AX10" s="2">
        <f t="shared" si="8"/>
        <v>2500</v>
      </c>
      <c r="AY10" s="1">
        <f t="shared" si="9"/>
        <v>5</v>
      </c>
      <c r="BA10" s="1">
        <v>3574</v>
      </c>
      <c r="BB10" s="1">
        <v>3639</v>
      </c>
      <c r="BC10" s="1">
        <v>5</v>
      </c>
      <c r="BE10" s="1">
        <v>3505</v>
      </c>
      <c r="BF10" s="1">
        <v>3548</v>
      </c>
      <c r="BG10" s="1">
        <v>5</v>
      </c>
    </row>
    <row r="11" spans="1:59" x14ac:dyDescent="0.25">
      <c r="A11" s="1">
        <f>B10</f>
        <v>2341</v>
      </c>
      <c r="B11" s="1">
        <v>2423</v>
      </c>
      <c r="C11" s="1">
        <v>8.5</v>
      </c>
      <c r="D11" s="1"/>
      <c r="E11" s="1">
        <f>F10</f>
        <v>2341</v>
      </c>
      <c r="F11" s="1">
        <v>2423</v>
      </c>
      <c r="G11" s="1">
        <v>8.5</v>
      </c>
      <c r="H11" s="1"/>
      <c r="I11" s="1">
        <f t="shared" si="19"/>
        <v>2351</v>
      </c>
      <c r="J11" s="1">
        <f t="shared" si="10"/>
        <v>2433</v>
      </c>
      <c r="K11" s="1">
        <f t="shared" si="11"/>
        <v>8</v>
      </c>
      <c r="L11" s="1"/>
      <c r="M11" s="1">
        <v>2330</v>
      </c>
      <c r="N11" s="1">
        <v>2425</v>
      </c>
      <c r="O11" s="1">
        <v>7</v>
      </c>
      <c r="P11" s="1"/>
      <c r="Q11" s="1">
        <v>2320</v>
      </c>
      <c r="R11" s="1">
        <v>2410</v>
      </c>
      <c r="S11" s="1">
        <v>6</v>
      </c>
      <c r="T11" s="1"/>
      <c r="U11" s="1">
        <v>2330</v>
      </c>
      <c r="V11" s="1">
        <v>2420</v>
      </c>
      <c r="W11" s="1">
        <v>5.5</v>
      </c>
      <c r="X11" s="1"/>
      <c r="Y11" s="1">
        <v>2380</v>
      </c>
      <c r="Z11" s="1">
        <v>2460</v>
      </c>
      <c r="AA11" s="1">
        <v>5.5</v>
      </c>
      <c r="AB11" s="1">
        <f t="shared" si="0"/>
        <v>3</v>
      </c>
      <c r="AC11" s="2">
        <v>2400</v>
      </c>
      <c r="AD11" s="2">
        <v>2480</v>
      </c>
      <c r="AE11" s="1">
        <v>5.5</v>
      </c>
      <c r="AF11" s="1"/>
      <c r="AG11" s="2">
        <f t="shared" si="12"/>
        <v>2420</v>
      </c>
      <c r="AH11" s="2">
        <f t="shared" si="1"/>
        <v>2500</v>
      </c>
      <c r="AI11" s="1">
        <f t="shared" si="2"/>
        <v>5.5</v>
      </c>
      <c r="AK11" s="9">
        <f t="shared" si="13"/>
        <v>2440</v>
      </c>
      <c r="AL11" s="9">
        <f t="shared" si="13"/>
        <v>2520</v>
      </c>
      <c r="AM11" s="4">
        <f t="shared" si="3"/>
        <v>5.5</v>
      </c>
      <c r="AO11" s="2">
        <f t="shared" si="14"/>
        <v>2460</v>
      </c>
      <c r="AP11" s="2">
        <f t="shared" si="4"/>
        <v>2540</v>
      </c>
      <c r="AQ11" s="1">
        <f t="shared" si="5"/>
        <v>5.5</v>
      </c>
      <c r="AS11" s="2">
        <f t="shared" si="15"/>
        <v>2480</v>
      </c>
      <c r="AT11" s="2">
        <f t="shared" si="6"/>
        <v>2560</v>
      </c>
      <c r="AU11" s="1">
        <f t="shared" si="7"/>
        <v>5.5</v>
      </c>
      <c r="AW11" s="2">
        <f t="shared" si="16"/>
        <v>2500</v>
      </c>
      <c r="AX11" s="2">
        <f t="shared" si="8"/>
        <v>2580</v>
      </c>
      <c r="AY11" s="1">
        <f t="shared" si="9"/>
        <v>5.5</v>
      </c>
      <c r="BA11" s="1">
        <v>3639</v>
      </c>
      <c r="BB11" s="1">
        <v>3704</v>
      </c>
      <c r="BC11" s="1">
        <v>5.5</v>
      </c>
      <c r="BE11" s="1">
        <v>3548</v>
      </c>
      <c r="BF11" s="1">
        <v>3634</v>
      </c>
      <c r="BG11" s="1">
        <v>5.5</v>
      </c>
    </row>
    <row r="12" spans="1:59" x14ac:dyDescent="0.25">
      <c r="A12" s="1">
        <f t="shared" ref="A12:A14" si="20">B11</f>
        <v>2423</v>
      </c>
      <c r="B12" s="1">
        <v>2512</v>
      </c>
      <c r="C12" s="1">
        <v>9</v>
      </c>
      <c r="D12" s="1"/>
      <c r="E12" s="1">
        <f t="shared" ref="E12:E14" si="21">F11</f>
        <v>2423</v>
      </c>
      <c r="F12" s="1">
        <v>2512</v>
      </c>
      <c r="G12" s="1">
        <v>9</v>
      </c>
      <c r="H12" s="1"/>
      <c r="I12" s="1">
        <f t="shared" si="19"/>
        <v>2433</v>
      </c>
      <c r="J12" s="1">
        <f t="shared" si="10"/>
        <v>2522</v>
      </c>
      <c r="K12" s="1">
        <f t="shared" si="11"/>
        <v>8.5</v>
      </c>
      <c r="L12" s="1"/>
      <c r="M12" s="1">
        <v>2425</v>
      </c>
      <c r="N12" s="1">
        <v>2520</v>
      </c>
      <c r="O12" s="1">
        <v>8</v>
      </c>
      <c r="P12" s="1"/>
      <c r="Q12" s="1">
        <v>2410</v>
      </c>
      <c r="R12" s="1">
        <v>2500</v>
      </c>
      <c r="S12" s="1">
        <v>6.5</v>
      </c>
      <c r="T12" s="1"/>
      <c r="U12" s="1">
        <v>2420</v>
      </c>
      <c r="V12" s="1">
        <v>2510</v>
      </c>
      <c r="W12" s="1">
        <v>6</v>
      </c>
      <c r="X12" s="1"/>
      <c r="Y12" s="1">
        <v>2460</v>
      </c>
      <c r="Z12" s="1">
        <v>2540</v>
      </c>
      <c r="AA12" s="1">
        <v>6</v>
      </c>
      <c r="AB12" s="1">
        <f t="shared" si="0"/>
        <v>3.5</v>
      </c>
      <c r="AC12" s="2">
        <v>2480</v>
      </c>
      <c r="AD12" s="2">
        <v>2560</v>
      </c>
      <c r="AE12" s="1">
        <v>6</v>
      </c>
      <c r="AF12" s="1"/>
      <c r="AG12" s="2">
        <f t="shared" si="12"/>
        <v>2500</v>
      </c>
      <c r="AH12" s="2">
        <f t="shared" si="1"/>
        <v>2580</v>
      </c>
      <c r="AI12" s="1">
        <f t="shared" si="2"/>
        <v>6</v>
      </c>
      <c r="AK12" s="9">
        <f t="shared" si="13"/>
        <v>2520</v>
      </c>
      <c r="AL12" s="9">
        <f t="shared" si="13"/>
        <v>2600</v>
      </c>
      <c r="AM12" s="4">
        <f t="shared" si="3"/>
        <v>6</v>
      </c>
      <c r="AO12" s="2">
        <f t="shared" si="14"/>
        <v>2540</v>
      </c>
      <c r="AP12" s="2">
        <f t="shared" si="4"/>
        <v>2620</v>
      </c>
      <c r="AQ12" s="1">
        <f t="shared" si="5"/>
        <v>6</v>
      </c>
      <c r="AS12" s="2">
        <f t="shared" si="15"/>
        <v>2560</v>
      </c>
      <c r="AT12" s="2">
        <f t="shared" si="6"/>
        <v>2640</v>
      </c>
      <c r="AU12" s="1">
        <f t="shared" si="7"/>
        <v>6</v>
      </c>
      <c r="AW12" s="2">
        <f t="shared" si="16"/>
        <v>2580</v>
      </c>
      <c r="AX12" s="2">
        <f t="shared" si="8"/>
        <v>2660</v>
      </c>
      <c r="AY12" s="1">
        <f t="shared" si="9"/>
        <v>6</v>
      </c>
      <c r="BA12" s="1">
        <v>3704</v>
      </c>
      <c r="BB12" s="1">
        <v>3769</v>
      </c>
      <c r="BC12" s="1">
        <v>6</v>
      </c>
      <c r="BE12" s="1">
        <v>3634</v>
      </c>
      <c r="BF12" s="1">
        <v>3720</v>
      </c>
      <c r="BG12" s="1">
        <v>6</v>
      </c>
    </row>
    <row r="13" spans="1:59" x14ac:dyDescent="0.25">
      <c r="A13" s="1">
        <f t="shared" si="20"/>
        <v>2512</v>
      </c>
      <c r="B13" s="1">
        <v>2601</v>
      </c>
      <c r="C13" s="1">
        <v>10</v>
      </c>
      <c r="D13" s="1"/>
      <c r="E13" s="1">
        <f t="shared" si="21"/>
        <v>2512</v>
      </c>
      <c r="F13" s="1">
        <v>2601</v>
      </c>
      <c r="G13" s="1">
        <v>10</v>
      </c>
      <c r="H13" s="1"/>
      <c r="I13" s="1">
        <f t="shared" si="19"/>
        <v>2522</v>
      </c>
      <c r="J13" s="1">
        <f t="shared" si="10"/>
        <v>2611</v>
      </c>
      <c r="K13" s="1">
        <f t="shared" si="11"/>
        <v>9.5</v>
      </c>
      <c r="L13" s="1"/>
      <c r="M13" s="1">
        <v>2520</v>
      </c>
      <c r="N13" s="1">
        <v>2615</v>
      </c>
      <c r="O13" s="1">
        <v>9</v>
      </c>
      <c r="P13" s="1"/>
      <c r="Q13" s="1">
        <v>2500</v>
      </c>
      <c r="R13" s="1">
        <v>2590</v>
      </c>
      <c r="S13" s="1">
        <v>7</v>
      </c>
      <c r="T13" s="1"/>
      <c r="U13" s="1">
        <v>2510</v>
      </c>
      <c r="V13" s="1">
        <v>2600</v>
      </c>
      <c r="W13" s="1">
        <v>6.5</v>
      </c>
      <c r="X13" s="1"/>
      <c r="Y13" s="1">
        <v>2540</v>
      </c>
      <c r="Z13" s="1">
        <v>2620</v>
      </c>
      <c r="AA13" s="1">
        <v>6.5</v>
      </c>
      <c r="AB13" s="1">
        <f t="shared" si="0"/>
        <v>4</v>
      </c>
      <c r="AC13" s="2">
        <v>2560</v>
      </c>
      <c r="AD13" s="2">
        <v>2640</v>
      </c>
      <c r="AE13" s="1">
        <v>6.5</v>
      </c>
      <c r="AF13" s="1"/>
      <c r="AG13" s="2">
        <f t="shared" si="12"/>
        <v>2580</v>
      </c>
      <c r="AH13" s="2">
        <f t="shared" si="1"/>
        <v>2660</v>
      </c>
      <c r="AI13" s="1">
        <f t="shared" si="2"/>
        <v>6.5</v>
      </c>
      <c r="AK13" s="9">
        <f t="shared" si="13"/>
        <v>2600</v>
      </c>
      <c r="AL13" s="9">
        <f t="shared" si="13"/>
        <v>2680</v>
      </c>
      <c r="AM13" s="4">
        <f t="shared" si="3"/>
        <v>6.5</v>
      </c>
      <c r="AO13" s="2">
        <f t="shared" si="14"/>
        <v>2620</v>
      </c>
      <c r="AP13" s="2">
        <f t="shared" si="4"/>
        <v>2700</v>
      </c>
      <c r="AQ13" s="1">
        <f t="shared" si="5"/>
        <v>6.5</v>
      </c>
      <c r="AS13" s="2">
        <f t="shared" si="15"/>
        <v>2640</v>
      </c>
      <c r="AT13" s="2">
        <f t="shared" si="6"/>
        <v>2720</v>
      </c>
      <c r="AU13" s="1">
        <f t="shared" si="7"/>
        <v>6.5</v>
      </c>
      <c r="AW13" s="2">
        <f t="shared" si="16"/>
        <v>2660</v>
      </c>
      <c r="AX13" s="2">
        <f t="shared" si="8"/>
        <v>2740</v>
      </c>
      <c r="AY13" s="1">
        <f t="shared" si="9"/>
        <v>6.5</v>
      </c>
      <c r="BA13" s="1">
        <v>3769</v>
      </c>
      <c r="BB13" s="1">
        <v>3832</v>
      </c>
      <c r="BC13" s="1">
        <v>6.5</v>
      </c>
      <c r="BE13" s="1">
        <v>3720</v>
      </c>
      <c r="BF13" s="1">
        <v>3804</v>
      </c>
      <c r="BG13" s="1">
        <v>6.5</v>
      </c>
    </row>
    <row r="14" spans="1:59" x14ac:dyDescent="0.25">
      <c r="A14" s="1">
        <f t="shared" si="20"/>
        <v>2601</v>
      </c>
      <c r="B14" s="1">
        <v>2711</v>
      </c>
      <c r="C14" s="1">
        <v>11</v>
      </c>
      <c r="D14" s="1"/>
      <c r="E14" s="1">
        <f t="shared" si="21"/>
        <v>2601</v>
      </c>
      <c r="F14" s="1">
        <v>2711</v>
      </c>
      <c r="G14" s="1">
        <v>11</v>
      </c>
      <c r="H14" s="1"/>
      <c r="I14" s="1">
        <f t="shared" si="19"/>
        <v>2611</v>
      </c>
      <c r="J14" s="1">
        <f t="shared" si="10"/>
        <v>2721</v>
      </c>
      <c r="K14" s="1">
        <f t="shared" si="11"/>
        <v>10.5</v>
      </c>
      <c r="L14" s="1"/>
      <c r="M14" s="1">
        <v>2615</v>
      </c>
      <c r="N14" s="1">
        <v>2710</v>
      </c>
      <c r="O14" s="1">
        <v>10</v>
      </c>
      <c r="P14" s="1"/>
      <c r="Q14" s="1">
        <v>2590</v>
      </c>
      <c r="R14" s="1">
        <v>2680</v>
      </c>
      <c r="S14" s="1">
        <v>8</v>
      </c>
      <c r="T14" s="1"/>
      <c r="U14" s="1">
        <v>2600</v>
      </c>
      <c r="V14" s="1">
        <v>2690</v>
      </c>
      <c r="W14" s="1">
        <v>7</v>
      </c>
      <c r="X14" s="1"/>
      <c r="Y14" s="1">
        <v>2620</v>
      </c>
      <c r="Z14" s="1">
        <v>2700</v>
      </c>
      <c r="AA14" s="1">
        <v>7</v>
      </c>
      <c r="AB14" s="1">
        <f t="shared" si="0"/>
        <v>4.5</v>
      </c>
      <c r="AC14" s="2">
        <v>2640</v>
      </c>
      <c r="AD14" s="2">
        <v>2720</v>
      </c>
      <c r="AE14" s="1">
        <v>7</v>
      </c>
      <c r="AF14" s="1"/>
      <c r="AG14" s="2">
        <f t="shared" si="12"/>
        <v>2660</v>
      </c>
      <c r="AH14" s="2">
        <f t="shared" si="1"/>
        <v>2740</v>
      </c>
      <c r="AI14" s="1">
        <f t="shared" si="2"/>
        <v>7</v>
      </c>
      <c r="AK14" s="9">
        <f t="shared" si="13"/>
        <v>2680</v>
      </c>
      <c r="AL14" s="9">
        <f t="shared" si="13"/>
        <v>2760</v>
      </c>
      <c r="AM14" s="4">
        <f t="shared" si="3"/>
        <v>7</v>
      </c>
      <c r="AO14" s="2">
        <f t="shared" si="14"/>
        <v>2700</v>
      </c>
      <c r="AP14" s="2">
        <f t="shared" si="4"/>
        <v>2780</v>
      </c>
      <c r="AQ14" s="1">
        <f t="shared" si="5"/>
        <v>7</v>
      </c>
      <c r="AS14" s="2">
        <f t="shared" si="15"/>
        <v>2720</v>
      </c>
      <c r="AT14" s="2">
        <f t="shared" si="6"/>
        <v>2800</v>
      </c>
      <c r="AU14" s="1">
        <f t="shared" si="7"/>
        <v>7</v>
      </c>
      <c r="AW14" s="2">
        <f t="shared" si="16"/>
        <v>2740</v>
      </c>
      <c r="AX14" s="2">
        <f t="shared" si="8"/>
        <v>2820</v>
      </c>
      <c r="AY14" s="1">
        <f t="shared" si="9"/>
        <v>7</v>
      </c>
      <c r="BA14" s="1">
        <v>3832</v>
      </c>
      <c r="BB14" s="1">
        <v>3895</v>
      </c>
      <c r="BC14" s="1">
        <v>7</v>
      </c>
      <c r="BE14" s="1">
        <v>3804</v>
      </c>
      <c r="BF14" s="1">
        <v>3888</v>
      </c>
      <c r="BG14" s="1">
        <v>7</v>
      </c>
    </row>
    <row r="15" spans="1:59" x14ac:dyDescent="0.25">
      <c r="A15" s="1">
        <f>B14</f>
        <v>2711</v>
      </c>
      <c r="B15" s="1">
        <v>9999</v>
      </c>
      <c r="C15" s="1">
        <v>100</v>
      </c>
      <c r="D15" s="1"/>
      <c r="E15" s="1">
        <f>F14</f>
        <v>2711</v>
      </c>
      <c r="F15" s="1">
        <v>9999</v>
      </c>
      <c r="G15" s="1">
        <v>100</v>
      </c>
      <c r="H15" s="1"/>
      <c r="I15" s="1">
        <f>E15+10</f>
        <v>2721</v>
      </c>
      <c r="J15" s="1">
        <f>J14+10</f>
        <v>2731</v>
      </c>
      <c r="K15" s="1">
        <f>K14+0.7</f>
        <v>11.2</v>
      </c>
      <c r="L15" s="1"/>
      <c r="M15" s="1">
        <v>2710</v>
      </c>
      <c r="N15" s="1">
        <v>2805</v>
      </c>
      <c r="O15" s="1">
        <v>10.5</v>
      </c>
      <c r="P15" s="1"/>
      <c r="Q15" s="1">
        <v>2680</v>
      </c>
      <c r="R15" s="1">
        <v>2770</v>
      </c>
      <c r="S15" s="1">
        <v>8.5</v>
      </c>
      <c r="T15" s="1"/>
      <c r="U15" s="1">
        <v>2690</v>
      </c>
      <c r="V15" s="1">
        <v>2780</v>
      </c>
      <c r="W15" s="1">
        <v>7.5</v>
      </c>
      <c r="X15" s="1"/>
      <c r="Y15" s="1">
        <v>2700</v>
      </c>
      <c r="Z15" s="1">
        <v>2780</v>
      </c>
      <c r="AA15" s="1">
        <v>7.5</v>
      </c>
      <c r="AB15" s="1">
        <f t="shared" si="0"/>
        <v>5</v>
      </c>
      <c r="AC15" s="2">
        <v>2720</v>
      </c>
      <c r="AD15" s="2">
        <v>2800</v>
      </c>
      <c r="AE15" s="1">
        <v>7.5</v>
      </c>
      <c r="AF15" s="1"/>
      <c r="AG15" s="2">
        <f t="shared" si="12"/>
        <v>2740</v>
      </c>
      <c r="AH15" s="2">
        <f t="shared" si="1"/>
        <v>2820</v>
      </c>
      <c r="AI15" s="1">
        <f t="shared" si="2"/>
        <v>7.5</v>
      </c>
      <c r="AK15" s="9">
        <f t="shared" si="13"/>
        <v>2760</v>
      </c>
      <c r="AL15" s="9">
        <f t="shared" si="13"/>
        <v>2840</v>
      </c>
      <c r="AM15" s="4">
        <f t="shared" si="3"/>
        <v>7.5</v>
      </c>
      <c r="AO15" s="2">
        <f t="shared" si="14"/>
        <v>2780</v>
      </c>
      <c r="AP15" s="2">
        <f t="shared" si="4"/>
        <v>2860</v>
      </c>
      <c r="AQ15" s="1">
        <f t="shared" si="5"/>
        <v>7.5</v>
      </c>
      <c r="AS15" s="2">
        <f t="shared" si="15"/>
        <v>2800</v>
      </c>
      <c r="AT15" s="2">
        <f t="shared" si="6"/>
        <v>2880</v>
      </c>
      <c r="AU15" s="1">
        <f t="shared" si="7"/>
        <v>7.5</v>
      </c>
      <c r="AW15" s="2">
        <f t="shared" si="16"/>
        <v>2820</v>
      </c>
      <c r="AX15" s="2">
        <f t="shared" si="8"/>
        <v>2900</v>
      </c>
      <c r="AY15" s="1">
        <f t="shared" si="9"/>
        <v>7.5</v>
      </c>
      <c r="BA15" s="1">
        <v>3895</v>
      </c>
      <c r="BB15" s="1">
        <v>3958</v>
      </c>
      <c r="BC15" s="1">
        <v>7.5</v>
      </c>
      <c r="BE15" s="1">
        <v>3888</v>
      </c>
      <c r="BF15" s="1">
        <v>3972</v>
      </c>
      <c r="BG15" s="1">
        <v>7.5</v>
      </c>
    </row>
    <row r="16" spans="1:59" x14ac:dyDescent="0.25">
      <c r="A16" s="1"/>
      <c r="B16" s="1"/>
      <c r="C16" s="1"/>
      <c r="D16" s="1"/>
      <c r="E16" s="1"/>
      <c r="F16" s="1"/>
      <c r="G16" s="1"/>
      <c r="H16" s="1"/>
      <c r="I16" s="1">
        <v>2731</v>
      </c>
      <c r="J16" s="1">
        <v>9999</v>
      </c>
      <c r="K16" s="1">
        <v>100</v>
      </c>
      <c r="L16" s="1"/>
      <c r="M16" s="1">
        <v>2805</v>
      </c>
      <c r="N16" s="1">
        <v>2900</v>
      </c>
      <c r="O16" s="1">
        <v>11</v>
      </c>
      <c r="P16" s="1"/>
      <c r="Q16" s="1">
        <v>2770</v>
      </c>
      <c r="R16" s="1">
        <v>2860</v>
      </c>
      <c r="S16" s="1">
        <v>9</v>
      </c>
      <c r="T16" s="1"/>
      <c r="U16" s="1">
        <v>2780</v>
      </c>
      <c r="V16" s="1">
        <v>2870</v>
      </c>
      <c r="W16" s="1">
        <v>8</v>
      </c>
      <c r="X16" s="1"/>
      <c r="Y16" s="1">
        <v>2780</v>
      </c>
      <c r="Z16" s="1">
        <v>2860</v>
      </c>
      <c r="AA16" s="1">
        <v>8</v>
      </c>
      <c r="AB16" s="1">
        <f t="shared" si="0"/>
        <v>5.5</v>
      </c>
      <c r="AC16" s="2">
        <v>2800</v>
      </c>
      <c r="AD16" s="2">
        <v>2880</v>
      </c>
      <c r="AE16" s="1">
        <v>8</v>
      </c>
      <c r="AF16" s="1"/>
      <c r="AG16" s="2">
        <f t="shared" si="12"/>
        <v>2820</v>
      </c>
      <c r="AH16" s="2">
        <f t="shared" si="1"/>
        <v>2900</v>
      </c>
      <c r="AI16" s="1">
        <f t="shared" si="2"/>
        <v>8</v>
      </c>
      <c r="AK16" s="9">
        <f t="shared" si="13"/>
        <v>2840</v>
      </c>
      <c r="AL16" s="9">
        <f t="shared" si="13"/>
        <v>2920</v>
      </c>
      <c r="AM16" s="4">
        <f t="shared" si="3"/>
        <v>8</v>
      </c>
      <c r="AO16" s="2">
        <f t="shared" si="14"/>
        <v>2860</v>
      </c>
      <c r="AP16" s="2">
        <f t="shared" si="4"/>
        <v>2940</v>
      </c>
      <c r="AQ16" s="1">
        <f t="shared" si="5"/>
        <v>8</v>
      </c>
      <c r="AS16" s="2">
        <f t="shared" si="15"/>
        <v>2880</v>
      </c>
      <c r="AT16" s="2">
        <f t="shared" si="6"/>
        <v>2960</v>
      </c>
      <c r="AU16" s="1">
        <f t="shared" si="7"/>
        <v>8</v>
      </c>
      <c r="AW16" s="2">
        <f t="shared" si="16"/>
        <v>2900</v>
      </c>
      <c r="AX16" s="2">
        <f t="shared" si="8"/>
        <v>2980</v>
      </c>
      <c r="AY16" s="1">
        <f t="shared" si="9"/>
        <v>8</v>
      </c>
      <c r="BA16" s="1">
        <v>3958</v>
      </c>
      <c r="BB16" s="1">
        <v>4023</v>
      </c>
      <c r="BC16" s="1">
        <v>8</v>
      </c>
      <c r="BE16" s="1">
        <v>3972</v>
      </c>
      <c r="BF16" s="1">
        <v>4058</v>
      </c>
      <c r="BG16" s="1">
        <v>8</v>
      </c>
    </row>
    <row r="17" spans="1:5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2900</v>
      </c>
      <c r="N17" s="1">
        <v>9999</v>
      </c>
      <c r="O17" s="1">
        <v>100</v>
      </c>
      <c r="P17" s="1"/>
      <c r="Q17" s="1">
        <v>2860</v>
      </c>
      <c r="R17" s="1">
        <v>2950</v>
      </c>
      <c r="S17" s="1">
        <v>9.5</v>
      </c>
      <c r="T17" s="1"/>
      <c r="U17" s="1">
        <v>2870</v>
      </c>
      <c r="V17" s="1">
        <v>2960</v>
      </c>
      <c r="W17" s="1">
        <v>8.5</v>
      </c>
      <c r="X17" s="1"/>
      <c r="Y17" s="1">
        <v>2860</v>
      </c>
      <c r="Z17" s="1">
        <v>2940</v>
      </c>
      <c r="AA17" s="1">
        <v>8.5</v>
      </c>
      <c r="AB17" s="1">
        <f t="shared" si="0"/>
        <v>6</v>
      </c>
      <c r="AC17" s="2">
        <v>2880</v>
      </c>
      <c r="AD17" s="2">
        <v>2960</v>
      </c>
      <c r="AE17" s="1">
        <v>8.5</v>
      </c>
      <c r="AF17" s="1"/>
      <c r="AG17" s="2">
        <f t="shared" si="12"/>
        <v>2900</v>
      </c>
      <c r="AH17" s="2">
        <f t="shared" si="1"/>
        <v>2980</v>
      </c>
      <c r="AI17" s="1">
        <f t="shared" si="2"/>
        <v>8.5</v>
      </c>
      <c r="AK17" s="9">
        <f t="shared" si="13"/>
        <v>2920</v>
      </c>
      <c r="AL17" s="9">
        <f t="shared" si="13"/>
        <v>3000</v>
      </c>
      <c r="AM17" s="4">
        <f t="shared" si="3"/>
        <v>8.5</v>
      </c>
      <c r="AO17" s="2">
        <f t="shared" si="14"/>
        <v>2940</v>
      </c>
      <c r="AP17" s="2">
        <f t="shared" si="4"/>
        <v>3020</v>
      </c>
      <c r="AQ17" s="1">
        <f t="shared" si="5"/>
        <v>8.5</v>
      </c>
      <c r="AS17" s="2">
        <f t="shared" si="15"/>
        <v>2960</v>
      </c>
      <c r="AT17" s="2">
        <f t="shared" si="6"/>
        <v>3040</v>
      </c>
      <c r="AU17" s="1">
        <f t="shared" si="7"/>
        <v>8.5</v>
      </c>
      <c r="AW17" s="2">
        <f t="shared" si="16"/>
        <v>2980</v>
      </c>
      <c r="AX17" s="2">
        <f t="shared" si="8"/>
        <v>3060</v>
      </c>
      <c r="AY17" s="1">
        <f t="shared" si="9"/>
        <v>8.5</v>
      </c>
      <c r="BA17" s="1">
        <v>4023</v>
      </c>
      <c r="BB17" s="1">
        <v>4088</v>
      </c>
      <c r="BC17" s="1">
        <v>8.5</v>
      </c>
      <c r="BE17" s="1">
        <v>4058</v>
      </c>
      <c r="BF17" s="1">
        <v>4144</v>
      </c>
      <c r="BG17" s="1">
        <v>8.5</v>
      </c>
    </row>
    <row r="18" spans="1:5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>
        <v>2950</v>
      </c>
      <c r="R18" s="1">
        <v>9999</v>
      </c>
      <c r="S18" s="1">
        <v>100</v>
      </c>
      <c r="T18" s="1"/>
      <c r="U18" s="1">
        <v>2960</v>
      </c>
      <c r="V18" s="1">
        <v>3050</v>
      </c>
      <c r="W18" s="1">
        <v>9</v>
      </c>
      <c r="X18" s="1"/>
      <c r="Y18" s="1">
        <v>2940</v>
      </c>
      <c r="Z18" s="1">
        <v>3020</v>
      </c>
      <c r="AA18" s="1">
        <v>9</v>
      </c>
      <c r="AB18" s="1">
        <f t="shared" si="0"/>
        <v>6.5</v>
      </c>
      <c r="AC18" s="2">
        <v>2960</v>
      </c>
      <c r="AD18" s="2">
        <v>3040</v>
      </c>
      <c r="AE18" s="1">
        <v>9</v>
      </c>
      <c r="AF18" s="1"/>
      <c r="AG18" s="2">
        <f t="shared" si="12"/>
        <v>2980</v>
      </c>
      <c r="AH18" s="2">
        <f t="shared" si="1"/>
        <v>3060</v>
      </c>
      <c r="AI18" s="1">
        <f t="shared" si="2"/>
        <v>9</v>
      </c>
      <c r="AK18" s="9">
        <f t="shared" si="13"/>
        <v>3000</v>
      </c>
      <c r="AL18" s="9">
        <f t="shared" si="13"/>
        <v>3080</v>
      </c>
      <c r="AM18" s="4">
        <f t="shared" si="3"/>
        <v>9</v>
      </c>
      <c r="AO18" s="2">
        <f t="shared" si="14"/>
        <v>3020</v>
      </c>
      <c r="AP18" s="2">
        <f t="shared" si="4"/>
        <v>3100</v>
      </c>
      <c r="AQ18" s="1">
        <f t="shared" si="5"/>
        <v>9</v>
      </c>
      <c r="AS18" s="2">
        <f t="shared" si="15"/>
        <v>3040</v>
      </c>
      <c r="AT18" s="2">
        <f t="shared" si="6"/>
        <v>3120</v>
      </c>
      <c r="AU18" s="1">
        <f t="shared" si="7"/>
        <v>9</v>
      </c>
      <c r="AW18" s="2">
        <f t="shared" si="16"/>
        <v>3060</v>
      </c>
      <c r="AX18" s="2">
        <f t="shared" si="8"/>
        <v>3140</v>
      </c>
      <c r="AY18" s="1">
        <f t="shared" si="9"/>
        <v>9</v>
      </c>
      <c r="BA18" s="1">
        <v>4088</v>
      </c>
      <c r="BB18" s="1">
        <v>4153</v>
      </c>
      <c r="BC18" s="1">
        <v>9</v>
      </c>
      <c r="BE18" s="1">
        <v>4144</v>
      </c>
      <c r="BF18" s="1">
        <v>4230</v>
      </c>
      <c r="BG18" s="1">
        <v>9</v>
      </c>
    </row>
    <row r="19" spans="1:5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3050</v>
      </c>
      <c r="V19" s="1">
        <v>9999</v>
      </c>
      <c r="W19" s="1">
        <v>100</v>
      </c>
      <c r="X19" s="1"/>
      <c r="Y19" s="1">
        <v>3020</v>
      </c>
      <c r="Z19" s="1">
        <v>3100</v>
      </c>
      <c r="AA19" s="1">
        <v>9.5</v>
      </c>
      <c r="AB19" s="1">
        <f t="shared" si="0"/>
        <v>7</v>
      </c>
      <c r="AC19" s="2">
        <v>3040</v>
      </c>
      <c r="AD19" s="2">
        <v>3120</v>
      </c>
      <c r="AE19" s="1">
        <v>9.5</v>
      </c>
      <c r="AF19" s="1"/>
      <c r="AG19" s="2">
        <f t="shared" si="12"/>
        <v>3060</v>
      </c>
      <c r="AH19" s="2">
        <f t="shared" si="1"/>
        <v>3140</v>
      </c>
      <c r="AI19" s="1">
        <f t="shared" si="2"/>
        <v>9.5</v>
      </c>
      <c r="AK19" s="9">
        <f t="shared" si="13"/>
        <v>3080</v>
      </c>
      <c r="AL19" s="9">
        <f t="shared" si="13"/>
        <v>3160</v>
      </c>
      <c r="AM19" s="4">
        <f t="shared" si="3"/>
        <v>9.5</v>
      </c>
      <c r="AO19" s="2">
        <f t="shared" si="14"/>
        <v>3100</v>
      </c>
      <c r="AP19" s="2">
        <f t="shared" si="4"/>
        <v>3180</v>
      </c>
      <c r="AQ19" s="1">
        <f t="shared" si="5"/>
        <v>9.5</v>
      </c>
      <c r="AS19" s="2">
        <f t="shared" si="15"/>
        <v>3120</v>
      </c>
      <c r="AT19" s="2">
        <f t="shared" si="6"/>
        <v>3200</v>
      </c>
      <c r="AU19" s="1">
        <f t="shared" si="7"/>
        <v>9.5</v>
      </c>
      <c r="AW19" s="2">
        <f t="shared" si="16"/>
        <v>3140</v>
      </c>
      <c r="AX19" s="2">
        <f t="shared" si="8"/>
        <v>3220</v>
      </c>
      <c r="AY19" s="1">
        <f t="shared" si="9"/>
        <v>9.5</v>
      </c>
      <c r="BA19" s="1">
        <v>4153</v>
      </c>
      <c r="BB19" s="1">
        <v>4242</v>
      </c>
      <c r="BC19" s="1">
        <v>9.5</v>
      </c>
      <c r="BE19" s="1">
        <v>4230</v>
      </c>
      <c r="BF19" s="1">
        <v>4348</v>
      </c>
      <c r="BG19" s="1">
        <v>9.5</v>
      </c>
    </row>
    <row r="20" spans="1:5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X20" s="1"/>
      <c r="Y20" s="1">
        <v>3100</v>
      </c>
      <c r="Z20" s="1">
        <v>9999</v>
      </c>
      <c r="AA20" s="1">
        <v>100</v>
      </c>
      <c r="AB20" s="1">
        <v>100</v>
      </c>
      <c r="AC20" s="2">
        <v>3120</v>
      </c>
      <c r="AD20" s="2">
        <v>3200</v>
      </c>
      <c r="AE20" s="1">
        <v>10</v>
      </c>
      <c r="AF20" s="1"/>
      <c r="AG20" s="2">
        <f t="shared" si="12"/>
        <v>3140</v>
      </c>
      <c r="AH20" s="2">
        <f t="shared" si="1"/>
        <v>3220</v>
      </c>
      <c r="AI20" s="1">
        <f t="shared" si="2"/>
        <v>10</v>
      </c>
      <c r="AK20" s="9">
        <f t="shared" si="13"/>
        <v>3160</v>
      </c>
      <c r="AL20" s="9">
        <f t="shared" si="13"/>
        <v>3240</v>
      </c>
      <c r="AM20" s="4">
        <f t="shared" si="3"/>
        <v>10</v>
      </c>
      <c r="AO20" s="2">
        <f t="shared" si="14"/>
        <v>3180</v>
      </c>
      <c r="AP20" s="2">
        <f t="shared" si="4"/>
        <v>3260</v>
      </c>
      <c r="AQ20" s="1">
        <f t="shared" si="5"/>
        <v>10</v>
      </c>
      <c r="AS20" s="2">
        <f t="shared" si="15"/>
        <v>3200</v>
      </c>
      <c r="AT20" s="2">
        <f t="shared" si="6"/>
        <v>3280</v>
      </c>
      <c r="AU20" s="1">
        <f t="shared" si="7"/>
        <v>10</v>
      </c>
      <c r="AW20" s="2">
        <f t="shared" si="16"/>
        <v>3220</v>
      </c>
      <c r="AX20" s="2">
        <f t="shared" si="8"/>
        <v>3300</v>
      </c>
      <c r="AY20" s="1">
        <f t="shared" si="9"/>
        <v>10</v>
      </c>
      <c r="BA20" s="1">
        <v>4242</v>
      </c>
      <c r="BB20" s="1">
        <v>4376</v>
      </c>
      <c r="BC20" s="1">
        <v>10</v>
      </c>
      <c r="BE20" s="1">
        <v>4348</v>
      </c>
      <c r="BF20" s="1">
        <v>4526</v>
      </c>
      <c r="BG20" s="1">
        <v>10</v>
      </c>
    </row>
    <row r="21" spans="1:59" x14ac:dyDescent="0.25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AB21" s="1"/>
      <c r="AC21" s="2">
        <v>3200</v>
      </c>
      <c r="AD21" s="1">
        <v>9999</v>
      </c>
      <c r="AE21" s="1">
        <v>100</v>
      </c>
      <c r="AF21" s="1"/>
      <c r="AG21" s="2">
        <f>AC21+20</f>
        <v>3220</v>
      </c>
      <c r="AH21" s="2">
        <f>AH20+80</f>
        <v>3300</v>
      </c>
      <c r="AI21" s="1">
        <v>10.5</v>
      </c>
      <c r="AJ21" s="1"/>
      <c r="AK21" s="9">
        <f t="shared" si="13"/>
        <v>3240</v>
      </c>
      <c r="AL21" s="9">
        <f t="shared" si="13"/>
        <v>3320</v>
      </c>
      <c r="AM21" s="4">
        <f t="shared" si="3"/>
        <v>10.5</v>
      </c>
      <c r="AO21" s="2">
        <f t="shared" si="14"/>
        <v>3260</v>
      </c>
      <c r="AP21" s="2">
        <f t="shared" si="4"/>
        <v>3340</v>
      </c>
      <c r="AQ21" s="1">
        <f t="shared" si="5"/>
        <v>10.5</v>
      </c>
      <c r="AS21" s="2">
        <f t="shared" si="15"/>
        <v>3280</v>
      </c>
      <c r="AT21" s="2">
        <f t="shared" si="6"/>
        <v>3360</v>
      </c>
      <c r="AU21" s="1">
        <f t="shared" si="7"/>
        <v>10.5</v>
      </c>
      <c r="AW21" s="2">
        <f t="shared" si="16"/>
        <v>3300</v>
      </c>
      <c r="AX21" s="2">
        <f t="shared" si="8"/>
        <v>3380</v>
      </c>
      <c r="AY21" s="1">
        <f t="shared" si="9"/>
        <v>10.5</v>
      </c>
      <c r="BA21" s="1">
        <v>4376</v>
      </c>
      <c r="BB21" s="1">
        <v>4526</v>
      </c>
      <c r="BC21" s="1">
        <v>10.5</v>
      </c>
      <c r="BE21" s="1">
        <v>4526</v>
      </c>
      <c r="BF21" s="1">
        <v>4726</v>
      </c>
      <c r="BG21" s="1">
        <v>10.5</v>
      </c>
    </row>
    <row r="22" spans="1:59" x14ac:dyDescent="0.25">
      <c r="I22" s="1"/>
      <c r="J22" s="1"/>
      <c r="K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"/>
      <c r="AD22" s="2"/>
      <c r="AE22" s="1"/>
      <c r="AF22" s="1"/>
      <c r="AG22" s="2">
        <f>AG21+80</f>
        <v>3300</v>
      </c>
      <c r="AH22" s="2">
        <f>AH21+80</f>
        <v>3380</v>
      </c>
      <c r="AI22" s="1">
        <v>11</v>
      </c>
      <c r="AJ22" s="1"/>
      <c r="AK22" s="9">
        <f t="shared" si="13"/>
        <v>3320</v>
      </c>
      <c r="AL22" s="9">
        <f>AH22+20</f>
        <v>3400</v>
      </c>
      <c r="AM22" s="4">
        <f t="shared" si="3"/>
        <v>11</v>
      </c>
      <c r="AO22" s="2">
        <f t="shared" si="14"/>
        <v>3340</v>
      </c>
      <c r="AP22" s="2">
        <f t="shared" si="4"/>
        <v>3420</v>
      </c>
      <c r="AQ22" s="1">
        <f t="shared" si="5"/>
        <v>11</v>
      </c>
      <c r="AS22" s="2">
        <f t="shared" si="15"/>
        <v>3360</v>
      </c>
      <c r="AT22" s="2">
        <f t="shared" si="6"/>
        <v>3440</v>
      </c>
      <c r="AU22" s="1">
        <f t="shared" si="7"/>
        <v>11</v>
      </c>
      <c r="AW22" s="2">
        <f t="shared" si="16"/>
        <v>3380</v>
      </c>
      <c r="AX22" s="2">
        <f t="shared" si="8"/>
        <v>3460</v>
      </c>
      <c r="AY22" s="1">
        <f t="shared" si="9"/>
        <v>11</v>
      </c>
      <c r="BA22" s="1">
        <v>4526</v>
      </c>
      <c r="BB22" s="1">
        <v>4676</v>
      </c>
      <c r="BC22" s="1">
        <v>11</v>
      </c>
      <c r="BE22" s="1">
        <v>4726</v>
      </c>
      <c r="BF22" s="1">
        <v>4926</v>
      </c>
      <c r="BG22" s="1">
        <v>11</v>
      </c>
    </row>
    <row r="23" spans="1:59" x14ac:dyDescent="0.25">
      <c r="I23" s="1"/>
      <c r="J23" s="1"/>
      <c r="K23" s="1"/>
      <c r="P23" s="1"/>
      <c r="T23" s="1"/>
      <c r="X23" s="1"/>
      <c r="AB23" s="1"/>
      <c r="AF23" s="1"/>
      <c r="AG23" s="2">
        <f>AG22+80</f>
        <v>3380</v>
      </c>
      <c r="AH23" s="1">
        <v>9999</v>
      </c>
      <c r="AI23" s="1">
        <v>100</v>
      </c>
      <c r="AJ23" s="1"/>
      <c r="AK23" s="9">
        <f t="shared" si="13"/>
        <v>3400</v>
      </c>
      <c r="AL23" s="9">
        <f>AL22+80</f>
        <v>3480</v>
      </c>
      <c r="AM23" s="4">
        <v>11.5</v>
      </c>
      <c r="AO23" s="2">
        <f t="shared" si="14"/>
        <v>3420</v>
      </c>
      <c r="AP23" s="2">
        <f t="shared" si="4"/>
        <v>3500</v>
      </c>
      <c r="AQ23" s="1">
        <f t="shared" si="5"/>
        <v>11.5</v>
      </c>
      <c r="AS23" s="2">
        <f t="shared" si="15"/>
        <v>3440</v>
      </c>
      <c r="AT23" s="2">
        <f t="shared" si="6"/>
        <v>3520</v>
      </c>
      <c r="AU23" s="1">
        <f t="shared" si="7"/>
        <v>11.5</v>
      </c>
      <c r="AW23" s="2">
        <f t="shared" si="16"/>
        <v>3460</v>
      </c>
      <c r="AX23" s="2">
        <f t="shared" si="8"/>
        <v>3540</v>
      </c>
      <c r="AY23" s="1">
        <f t="shared" si="9"/>
        <v>11.5</v>
      </c>
      <c r="BA23" s="1">
        <v>4676</v>
      </c>
      <c r="BB23" s="1">
        <v>9999</v>
      </c>
      <c r="BC23" s="1">
        <v>100</v>
      </c>
      <c r="BE23" s="1">
        <v>4926</v>
      </c>
      <c r="BF23" s="1">
        <v>9999</v>
      </c>
      <c r="BG23" s="1">
        <v>100</v>
      </c>
    </row>
    <row r="24" spans="1:59" x14ac:dyDescent="0.25">
      <c r="I24" s="1"/>
      <c r="J24" s="1"/>
      <c r="K24" s="1"/>
      <c r="P24" s="1"/>
      <c r="T24" s="1"/>
      <c r="U24" s="1"/>
      <c r="V24" s="1"/>
      <c r="W24" s="1"/>
      <c r="X24" s="1"/>
      <c r="Y24" s="1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9">
        <f>AK23+80</f>
        <v>3480</v>
      </c>
      <c r="AL24" s="9">
        <v>9999</v>
      </c>
      <c r="AM24" s="4">
        <v>100</v>
      </c>
      <c r="AO24" s="2">
        <f t="shared" si="14"/>
        <v>3500</v>
      </c>
      <c r="AP24" s="2">
        <f>AP23+80</f>
        <v>3580</v>
      </c>
      <c r="AQ24" s="1">
        <v>12</v>
      </c>
      <c r="AS24" s="2">
        <f t="shared" si="15"/>
        <v>3520</v>
      </c>
      <c r="AT24" s="2">
        <f t="shared" si="6"/>
        <v>3600</v>
      </c>
      <c r="AU24" s="1">
        <f t="shared" si="7"/>
        <v>12</v>
      </c>
      <c r="AW24" s="2">
        <f t="shared" si="16"/>
        <v>3540</v>
      </c>
      <c r="AX24" s="2">
        <f t="shared" si="8"/>
        <v>3620</v>
      </c>
      <c r="AY24" s="1">
        <f t="shared" si="9"/>
        <v>12</v>
      </c>
    </row>
    <row r="25" spans="1:59" x14ac:dyDescent="0.25">
      <c r="Y25" s="1"/>
      <c r="Z25" s="2"/>
      <c r="AA25" s="1"/>
      <c r="AB25" s="8"/>
      <c r="AO25" s="2">
        <f>AP24</f>
        <v>3580</v>
      </c>
      <c r="AP25" s="1">
        <v>9999</v>
      </c>
      <c r="AQ25" s="1">
        <v>100</v>
      </c>
      <c r="AS25" s="2">
        <f t="shared" si="15"/>
        <v>3600</v>
      </c>
      <c r="AT25" s="2">
        <f>AT24+80</f>
        <v>3680</v>
      </c>
      <c r="AU25" s="1">
        <v>12.5</v>
      </c>
      <c r="AW25" s="2">
        <f t="shared" si="16"/>
        <v>3620</v>
      </c>
      <c r="AX25" s="2">
        <f t="shared" si="8"/>
        <v>3700</v>
      </c>
      <c r="AY25" s="1">
        <f t="shared" si="9"/>
        <v>12.5</v>
      </c>
    </row>
    <row r="26" spans="1:59" x14ac:dyDescent="0.25">
      <c r="Y26" s="1"/>
      <c r="Z26" s="2"/>
      <c r="AA26" s="1"/>
      <c r="AS26" s="2">
        <f>AT25</f>
        <v>3680</v>
      </c>
      <c r="AT26" s="1">
        <v>9999</v>
      </c>
      <c r="AU26" s="1">
        <v>100</v>
      </c>
      <c r="AW26" s="2">
        <f t="shared" si="16"/>
        <v>3700</v>
      </c>
      <c r="AX26" s="2">
        <f>AX25+80</f>
        <v>3780</v>
      </c>
      <c r="AY26" s="1">
        <v>13</v>
      </c>
    </row>
    <row r="27" spans="1:59" x14ac:dyDescent="0.25">
      <c r="C27" t="s">
        <v>80</v>
      </c>
      <c r="D27">
        <v>2027</v>
      </c>
      <c r="E27">
        <v>2028</v>
      </c>
      <c r="F27">
        <v>2029</v>
      </c>
      <c r="G27">
        <v>2030</v>
      </c>
      <c r="H27">
        <v>2031</v>
      </c>
      <c r="AW27" s="2">
        <f>AX26</f>
        <v>3780</v>
      </c>
      <c r="AX27" s="1">
        <v>9999</v>
      </c>
      <c r="AY27" s="1">
        <v>100</v>
      </c>
    </row>
    <row r="28" spans="1:59" x14ac:dyDescent="0.25">
      <c r="C28" s="4">
        <v>1665</v>
      </c>
      <c r="D28">
        <f>_xlfn.XLOOKUP(C28,$N$3:$N$17,$O$3:$O$17,"Fuera",1)</f>
        <v>0</v>
      </c>
      <c r="E28">
        <f>_xlfn.XLOOKUP(C28,$R$3:$R$18,$S$3:$S$18,"Fuera",1)</f>
        <v>0</v>
      </c>
      <c r="F28">
        <f>_xlfn.XLOOKUP(C28,$V$3:$V$19,$W$3:$W$19,"Fuera",1)</f>
        <v>0</v>
      </c>
      <c r="G28">
        <f>_xlfn.XLOOKUP(C28,$Z$3:$Z$20,$AA$3:$AA$20,"Fuera",1)</f>
        <v>0.5</v>
      </c>
      <c r="H28">
        <f>_xlfn.XLOOKUP(C28,$AD$3:$AD$21,$AE$3:$AE$21,"Fuera",1)</f>
        <v>0.5</v>
      </c>
      <c r="Y28" s="1"/>
      <c r="Z28" s="2"/>
      <c r="AA28" s="1"/>
    </row>
    <row r="29" spans="1:59" x14ac:dyDescent="0.25">
      <c r="C29" s="4">
        <f>C28+50</f>
        <v>1715</v>
      </c>
      <c r="D29">
        <f>_xlfn.XLOOKUP(C29,$N$3:$N$17,$O$3:$O$17,"Fuera",1)</f>
        <v>1.5</v>
      </c>
      <c r="E29">
        <f t="shared" ref="E29:E53" si="22">_xlfn.XLOOKUP(C29,$R$3:$R$18,$S$3:$S$18,"Fuera",1)</f>
        <v>1</v>
      </c>
      <c r="F29">
        <f t="shared" ref="F29:F55" si="23">_xlfn.XLOOKUP(C29,$V$3:$V$19,$W$3:$W$19,"Fuera",1)</f>
        <v>0.5</v>
      </c>
      <c r="G29">
        <f t="shared" ref="G29:G56" si="24">_xlfn.XLOOKUP(C29,$Z$3:$Z$20,$AA$3:$AA$20,"Fuera",1)</f>
        <v>0.5</v>
      </c>
      <c r="H29">
        <f t="shared" ref="H29:H58" si="25">_xlfn.XLOOKUP(C29,$AD$3:$AD$21,$AE$3:$AE$21,"Fuera",1)</f>
        <v>0.5</v>
      </c>
      <c r="Y29" s="1"/>
      <c r="Z29" s="2"/>
      <c r="AA29" s="1"/>
    </row>
    <row r="30" spans="1:59" x14ac:dyDescent="0.25">
      <c r="C30" s="4">
        <f t="shared" ref="C30:C59" si="26">C29+50</f>
        <v>1765</v>
      </c>
      <c r="D30">
        <f t="shared" ref="D30:D52" si="27">_xlfn.XLOOKUP(C30,$N$3:$N$17,$O$3:$O$17,"Fuera",1)</f>
        <v>2</v>
      </c>
      <c r="E30">
        <f t="shared" si="22"/>
        <v>1</v>
      </c>
      <c r="F30">
        <f t="shared" si="23"/>
        <v>0.5</v>
      </c>
      <c r="G30">
        <f t="shared" si="24"/>
        <v>0.5</v>
      </c>
      <c r="H30">
        <f t="shared" si="25"/>
        <v>0.5</v>
      </c>
      <c r="Y30" s="1"/>
      <c r="Z30" s="2"/>
      <c r="AA30" s="1"/>
    </row>
    <row r="31" spans="1:59" x14ac:dyDescent="0.25">
      <c r="C31" s="4">
        <f t="shared" si="26"/>
        <v>1815</v>
      </c>
      <c r="D31">
        <f>_xlfn.XLOOKUP(C31,$N$3:$N$17,$O$3:$O$17,"Fuera",1)</f>
        <v>2</v>
      </c>
      <c r="E31">
        <f t="shared" si="22"/>
        <v>1.5</v>
      </c>
      <c r="F31">
        <f t="shared" si="23"/>
        <v>1</v>
      </c>
      <c r="G31">
        <f t="shared" si="24"/>
        <v>0.5</v>
      </c>
      <c r="H31">
        <f t="shared" si="25"/>
        <v>0.5</v>
      </c>
      <c r="Y31" s="1"/>
      <c r="Z31" s="2"/>
      <c r="AA31" s="1"/>
    </row>
    <row r="32" spans="1:59" x14ac:dyDescent="0.25">
      <c r="C32" s="4">
        <f t="shared" si="26"/>
        <v>1865</v>
      </c>
      <c r="D32">
        <f t="shared" si="27"/>
        <v>2.5</v>
      </c>
      <c r="E32">
        <f t="shared" si="22"/>
        <v>1.5</v>
      </c>
      <c r="F32">
        <f t="shared" si="23"/>
        <v>1</v>
      </c>
      <c r="G32">
        <f t="shared" si="24"/>
        <v>1</v>
      </c>
      <c r="H32">
        <f t="shared" si="25"/>
        <v>1</v>
      </c>
      <c r="Y32" s="1"/>
      <c r="Z32" s="2"/>
      <c r="AA32" s="1"/>
    </row>
    <row r="33" spans="3:27" x14ac:dyDescent="0.25">
      <c r="C33" s="4">
        <f t="shared" si="26"/>
        <v>1915</v>
      </c>
      <c r="D33">
        <f t="shared" si="27"/>
        <v>2.5</v>
      </c>
      <c r="E33">
        <f t="shared" si="22"/>
        <v>2.5</v>
      </c>
      <c r="F33">
        <f t="shared" si="23"/>
        <v>1.7999999999999998</v>
      </c>
      <c r="G33">
        <f t="shared" si="24"/>
        <v>1.5</v>
      </c>
      <c r="H33">
        <f t="shared" si="25"/>
        <v>1</v>
      </c>
      <c r="Y33" s="1"/>
      <c r="Z33" s="2"/>
      <c r="AA33" s="1"/>
    </row>
    <row r="34" spans="3:27" x14ac:dyDescent="0.25">
      <c r="C34" s="4">
        <f t="shared" si="26"/>
        <v>1965</v>
      </c>
      <c r="D34">
        <f t="shared" si="27"/>
        <v>3.5</v>
      </c>
      <c r="E34">
        <f t="shared" si="22"/>
        <v>3</v>
      </c>
      <c r="F34">
        <f t="shared" si="23"/>
        <v>1.7999999999999998</v>
      </c>
      <c r="G34">
        <f t="shared" si="24"/>
        <v>1.5</v>
      </c>
      <c r="H34">
        <f t="shared" si="25"/>
        <v>1.5</v>
      </c>
      <c r="Y34" s="1"/>
      <c r="Z34" s="2"/>
      <c r="AA34" s="1"/>
    </row>
    <row r="35" spans="3:27" x14ac:dyDescent="0.25">
      <c r="C35" s="4">
        <f t="shared" si="26"/>
        <v>2015</v>
      </c>
      <c r="D35">
        <f t="shared" si="27"/>
        <v>3.5</v>
      </c>
      <c r="E35">
        <f t="shared" si="22"/>
        <v>3</v>
      </c>
      <c r="F35">
        <f t="shared" si="23"/>
        <v>2.5</v>
      </c>
      <c r="G35">
        <f t="shared" si="24"/>
        <v>2</v>
      </c>
      <c r="H35">
        <f t="shared" si="25"/>
        <v>2</v>
      </c>
      <c r="Y35" s="1"/>
      <c r="Z35" s="2"/>
      <c r="AA35" s="1"/>
    </row>
    <row r="36" spans="3:27" x14ac:dyDescent="0.25">
      <c r="C36" s="4">
        <f t="shared" si="26"/>
        <v>2065</v>
      </c>
      <c r="D36">
        <f t="shared" si="27"/>
        <v>4.5</v>
      </c>
      <c r="E36">
        <f t="shared" si="22"/>
        <v>3.5</v>
      </c>
      <c r="F36">
        <f t="shared" si="23"/>
        <v>3</v>
      </c>
      <c r="G36">
        <f t="shared" si="24"/>
        <v>3</v>
      </c>
      <c r="H36">
        <f t="shared" si="25"/>
        <v>2</v>
      </c>
      <c r="Y36" s="1"/>
      <c r="Z36" s="2"/>
      <c r="AA36" s="1"/>
    </row>
    <row r="37" spans="3:27" x14ac:dyDescent="0.25">
      <c r="C37" s="4">
        <f t="shared" si="26"/>
        <v>2115</v>
      </c>
      <c r="D37">
        <f t="shared" si="27"/>
        <v>4.5</v>
      </c>
      <c r="E37">
        <f t="shared" si="22"/>
        <v>3.5</v>
      </c>
      <c r="F37">
        <f t="shared" si="23"/>
        <v>3</v>
      </c>
      <c r="G37">
        <f t="shared" si="24"/>
        <v>3</v>
      </c>
      <c r="H37">
        <f t="shared" si="25"/>
        <v>3.5</v>
      </c>
      <c r="Y37" s="1"/>
      <c r="Z37" s="2"/>
      <c r="AA37" s="1"/>
    </row>
    <row r="38" spans="3:27" x14ac:dyDescent="0.25">
      <c r="C38" s="4">
        <f t="shared" si="26"/>
        <v>2165</v>
      </c>
      <c r="D38">
        <f t="shared" si="27"/>
        <v>5.5</v>
      </c>
      <c r="E38">
        <f t="shared" si="22"/>
        <v>4.5</v>
      </c>
      <c r="F38">
        <f t="shared" si="23"/>
        <v>3.5</v>
      </c>
      <c r="G38">
        <f t="shared" si="24"/>
        <v>4</v>
      </c>
      <c r="H38">
        <f t="shared" si="25"/>
        <v>4</v>
      </c>
      <c r="Y38" s="1"/>
      <c r="Z38" s="2"/>
      <c r="AA38" s="1"/>
    </row>
    <row r="39" spans="3:27" x14ac:dyDescent="0.25">
      <c r="C39" s="4">
        <f t="shared" si="26"/>
        <v>2215</v>
      </c>
      <c r="D39">
        <f t="shared" si="27"/>
        <v>5.5</v>
      </c>
      <c r="E39">
        <f t="shared" si="22"/>
        <v>4.5</v>
      </c>
      <c r="F39">
        <f t="shared" si="23"/>
        <v>3.5</v>
      </c>
      <c r="G39">
        <f t="shared" si="24"/>
        <v>4</v>
      </c>
      <c r="H39">
        <f t="shared" si="25"/>
        <v>4</v>
      </c>
      <c r="Y39" s="1"/>
      <c r="Z39" s="2"/>
      <c r="AA39" s="1"/>
    </row>
    <row r="40" spans="3:27" x14ac:dyDescent="0.25">
      <c r="C40" s="4">
        <f t="shared" si="26"/>
        <v>2265</v>
      </c>
      <c r="D40">
        <f t="shared" si="27"/>
        <v>6</v>
      </c>
      <c r="E40">
        <f t="shared" si="22"/>
        <v>5</v>
      </c>
      <c r="F40">
        <f t="shared" si="23"/>
        <v>4.5</v>
      </c>
      <c r="G40">
        <f t="shared" si="24"/>
        <v>4.5</v>
      </c>
      <c r="H40">
        <f t="shared" si="25"/>
        <v>4.5</v>
      </c>
      <c r="Y40" s="1"/>
      <c r="Z40" s="2"/>
      <c r="AA40" s="1"/>
    </row>
    <row r="41" spans="3:27" x14ac:dyDescent="0.25">
      <c r="C41" s="4">
        <f t="shared" si="26"/>
        <v>2315</v>
      </c>
      <c r="D41">
        <f t="shared" si="27"/>
        <v>6</v>
      </c>
      <c r="E41">
        <f t="shared" si="22"/>
        <v>5</v>
      </c>
      <c r="F41">
        <f t="shared" si="23"/>
        <v>4.5</v>
      </c>
      <c r="G41">
        <f t="shared" si="24"/>
        <v>5</v>
      </c>
      <c r="H41">
        <f t="shared" si="25"/>
        <v>4.5</v>
      </c>
      <c r="Z41" s="2"/>
    </row>
    <row r="42" spans="3:27" x14ac:dyDescent="0.25">
      <c r="C42" s="4">
        <f t="shared" si="26"/>
        <v>2365</v>
      </c>
      <c r="D42">
        <f t="shared" si="27"/>
        <v>7</v>
      </c>
      <c r="E42">
        <f t="shared" si="22"/>
        <v>6</v>
      </c>
      <c r="F42">
        <f t="shared" si="23"/>
        <v>5.5</v>
      </c>
      <c r="G42">
        <f t="shared" si="24"/>
        <v>5</v>
      </c>
      <c r="H42">
        <f t="shared" si="25"/>
        <v>5</v>
      </c>
      <c r="Z42" s="2"/>
    </row>
    <row r="43" spans="3:27" x14ac:dyDescent="0.25">
      <c r="C43" s="4">
        <f t="shared" si="26"/>
        <v>2415</v>
      </c>
      <c r="D43">
        <f t="shared" si="27"/>
        <v>7</v>
      </c>
      <c r="E43">
        <f t="shared" si="22"/>
        <v>6.5</v>
      </c>
      <c r="F43">
        <f t="shared" si="23"/>
        <v>5.5</v>
      </c>
      <c r="G43">
        <f t="shared" si="24"/>
        <v>5.5</v>
      </c>
      <c r="H43">
        <f t="shared" si="25"/>
        <v>5.5</v>
      </c>
      <c r="Z43" s="2"/>
    </row>
    <row r="44" spans="3:27" x14ac:dyDescent="0.25">
      <c r="C44" s="4">
        <f t="shared" si="26"/>
        <v>2465</v>
      </c>
      <c r="D44">
        <f t="shared" si="27"/>
        <v>8</v>
      </c>
      <c r="E44">
        <f t="shared" si="22"/>
        <v>6.5</v>
      </c>
      <c r="F44">
        <f t="shared" si="23"/>
        <v>6</v>
      </c>
      <c r="G44">
        <f t="shared" si="24"/>
        <v>6</v>
      </c>
      <c r="H44">
        <f t="shared" si="25"/>
        <v>5.5</v>
      </c>
    </row>
    <row r="45" spans="3:27" x14ac:dyDescent="0.25">
      <c r="C45" s="4">
        <f t="shared" si="26"/>
        <v>2515</v>
      </c>
      <c r="D45">
        <f t="shared" si="27"/>
        <v>8</v>
      </c>
      <c r="E45">
        <f t="shared" si="22"/>
        <v>7</v>
      </c>
      <c r="F45">
        <f t="shared" si="23"/>
        <v>6.5</v>
      </c>
      <c r="G45">
        <f t="shared" si="24"/>
        <v>6</v>
      </c>
      <c r="H45">
        <f t="shared" si="25"/>
        <v>6</v>
      </c>
    </row>
    <row r="46" spans="3:27" x14ac:dyDescent="0.25">
      <c r="C46" s="4">
        <f t="shared" si="26"/>
        <v>2565</v>
      </c>
      <c r="D46">
        <f t="shared" si="27"/>
        <v>9</v>
      </c>
      <c r="E46">
        <f t="shared" si="22"/>
        <v>7</v>
      </c>
      <c r="F46">
        <f t="shared" si="23"/>
        <v>6.5</v>
      </c>
      <c r="G46">
        <f t="shared" si="24"/>
        <v>6.5</v>
      </c>
      <c r="H46">
        <f t="shared" si="25"/>
        <v>6.5</v>
      </c>
    </row>
    <row r="47" spans="3:27" x14ac:dyDescent="0.25">
      <c r="C47" s="4">
        <f t="shared" si="26"/>
        <v>2615</v>
      </c>
      <c r="D47">
        <f t="shared" si="27"/>
        <v>9</v>
      </c>
      <c r="E47">
        <f t="shared" si="22"/>
        <v>8</v>
      </c>
      <c r="F47">
        <f t="shared" si="23"/>
        <v>7</v>
      </c>
      <c r="G47">
        <f t="shared" si="24"/>
        <v>6.5</v>
      </c>
      <c r="H47">
        <f t="shared" si="25"/>
        <v>6.5</v>
      </c>
    </row>
    <row r="48" spans="3:27" x14ac:dyDescent="0.25">
      <c r="C48" s="4">
        <f t="shared" si="26"/>
        <v>2665</v>
      </c>
      <c r="D48">
        <f t="shared" si="27"/>
        <v>10</v>
      </c>
      <c r="E48">
        <f t="shared" si="22"/>
        <v>8</v>
      </c>
      <c r="F48">
        <f t="shared" si="23"/>
        <v>7</v>
      </c>
      <c r="G48">
        <f t="shared" si="24"/>
        <v>7</v>
      </c>
      <c r="H48">
        <f t="shared" si="25"/>
        <v>7</v>
      </c>
    </row>
    <row r="49" spans="3:8" x14ac:dyDescent="0.25">
      <c r="C49" s="4">
        <f t="shared" si="26"/>
        <v>2715</v>
      </c>
      <c r="D49">
        <f t="shared" si="27"/>
        <v>10.5</v>
      </c>
      <c r="E49">
        <f t="shared" si="22"/>
        <v>8.5</v>
      </c>
      <c r="F49">
        <f t="shared" si="23"/>
        <v>7.5</v>
      </c>
      <c r="G49">
        <f t="shared" si="24"/>
        <v>7.5</v>
      </c>
      <c r="H49">
        <f t="shared" si="25"/>
        <v>7</v>
      </c>
    </row>
    <row r="50" spans="3:8" x14ac:dyDescent="0.25">
      <c r="C50" s="4">
        <f t="shared" si="26"/>
        <v>2765</v>
      </c>
      <c r="D50">
        <f t="shared" si="27"/>
        <v>10.5</v>
      </c>
      <c r="E50">
        <f t="shared" si="22"/>
        <v>8.5</v>
      </c>
      <c r="F50">
        <f t="shared" si="23"/>
        <v>7.5</v>
      </c>
      <c r="G50">
        <f t="shared" si="24"/>
        <v>7.5</v>
      </c>
      <c r="H50">
        <f t="shared" si="25"/>
        <v>7.5</v>
      </c>
    </row>
    <row r="51" spans="3:8" x14ac:dyDescent="0.25">
      <c r="C51" s="4">
        <f t="shared" si="26"/>
        <v>2815</v>
      </c>
      <c r="D51">
        <f t="shared" si="27"/>
        <v>11</v>
      </c>
      <c r="E51">
        <f t="shared" si="22"/>
        <v>9</v>
      </c>
      <c r="F51">
        <f t="shared" si="23"/>
        <v>8</v>
      </c>
      <c r="G51">
        <f t="shared" si="24"/>
        <v>8</v>
      </c>
      <c r="H51">
        <f t="shared" si="25"/>
        <v>8</v>
      </c>
    </row>
    <row r="52" spans="3:8" x14ac:dyDescent="0.25">
      <c r="C52" s="4">
        <f t="shared" si="26"/>
        <v>2865</v>
      </c>
      <c r="D52">
        <f t="shared" si="27"/>
        <v>11</v>
      </c>
      <c r="E52">
        <f t="shared" si="22"/>
        <v>9.5</v>
      </c>
      <c r="F52">
        <f t="shared" si="23"/>
        <v>8</v>
      </c>
      <c r="G52">
        <f t="shared" si="24"/>
        <v>8.5</v>
      </c>
      <c r="H52">
        <f t="shared" si="25"/>
        <v>8</v>
      </c>
    </row>
    <row r="53" spans="3:8" x14ac:dyDescent="0.25">
      <c r="C53" s="4">
        <f t="shared" si="26"/>
        <v>2915</v>
      </c>
      <c r="E53">
        <f t="shared" si="22"/>
        <v>9.5</v>
      </c>
      <c r="F53">
        <f t="shared" si="23"/>
        <v>8.5</v>
      </c>
      <c r="G53">
        <f t="shared" si="24"/>
        <v>8.5</v>
      </c>
      <c r="H53">
        <f t="shared" si="25"/>
        <v>8.5</v>
      </c>
    </row>
    <row r="54" spans="3:8" x14ac:dyDescent="0.25">
      <c r="C54" s="4">
        <f t="shared" si="26"/>
        <v>2965</v>
      </c>
      <c r="F54">
        <f t="shared" si="23"/>
        <v>9</v>
      </c>
      <c r="G54">
        <f t="shared" si="24"/>
        <v>9</v>
      </c>
      <c r="H54">
        <f t="shared" si="25"/>
        <v>9</v>
      </c>
    </row>
    <row r="55" spans="3:8" x14ac:dyDescent="0.25">
      <c r="C55" s="4">
        <f>C54+50</f>
        <v>3015</v>
      </c>
      <c r="F55">
        <f t="shared" si="23"/>
        <v>9</v>
      </c>
      <c r="G55">
        <f t="shared" si="24"/>
        <v>9</v>
      </c>
      <c r="H55">
        <f t="shared" si="25"/>
        <v>9</v>
      </c>
    </row>
    <row r="56" spans="3:8" x14ac:dyDescent="0.25">
      <c r="C56" s="4">
        <f t="shared" si="26"/>
        <v>3065</v>
      </c>
      <c r="G56">
        <f t="shared" si="24"/>
        <v>9.5</v>
      </c>
      <c r="H56">
        <f t="shared" si="25"/>
        <v>9.5</v>
      </c>
    </row>
    <row r="57" spans="3:8" x14ac:dyDescent="0.25">
      <c r="C57" s="4">
        <f t="shared" si="26"/>
        <v>3115</v>
      </c>
      <c r="H57">
        <f t="shared" si="25"/>
        <v>9.5</v>
      </c>
    </row>
    <row r="58" spans="3:8" x14ac:dyDescent="0.25">
      <c r="C58" s="4">
        <f t="shared" si="26"/>
        <v>3165</v>
      </c>
      <c r="H58">
        <f t="shared" si="25"/>
        <v>10</v>
      </c>
    </row>
    <row r="59" spans="3:8" x14ac:dyDescent="0.25">
      <c r="C59" s="4">
        <f t="shared" si="26"/>
        <v>3215</v>
      </c>
    </row>
    <row r="60" spans="3:8" x14ac:dyDescent="0.25">
      <c r="C60" s="4">
        <f>C59+50</f>
        <v>3265</v>
      </c>
    </row>
  </sheetData>
  <mergeCells count="15">
    <mergeCell ref="AW1:AY1"/>
    <mergeCell ref="BA1:BC1"/>
    <mergeCell ref="BE1:BG1"/>
    <mergeCell ref="Y1:AA1"/>
    <mergeCell ref="AC1:AE1"/>
    <mergeCell ref="AG1:AI1"/>
    <mergeCell ref="AK1:AM1"/>
    <mergeCell ref="AO1:AQ1"/>
    <mergeCell ref="AS1:AU1"/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698E-1553-4BCA-B58A-E81845C18C2A}">
  <dimension ref="A1:C3"/>
  <sheetViews>
    <sheetView workbookViewId="0">
      <selection activeCell="A3" sqref="A3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2630</v>
      </c>
      <c r="B2">
        <f>A2+250</f>
        <v>2880</v>
      </c>
      <c r="C2">
        <v>1</v>
      </c>
    </row>
    <row r="3" spans="1:3" x14ac:dyDescent="0.25">
      <c r="A3">
        <f>B2</f>
        <v>2880</v>
      </c>
      <c r="B3">
        <v>9999</v>
      </c>
      <c r="C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8C17-1934-450E-AD73-EE9C3BC47835}">
  <sheetPr codeName="Hoja3"/>
  <dimension ref="A1:C3"/>
  <sheetViews>
    <sheetView workbookViewId="0">
      <selection activeCell="G31" sqref="G31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1757</v>
      </c>
      <c r="B2">
        <v>1897</v>
      </c>
      <c r="C2">
        <v>1</v>
      </c>
    </row>
    <row r="3" spans="1:3" x14ac:dyDescent="0.25">
      <c r="A3">
        <f>B2</f>
        <v>1897</v>
      </c>
      <c r="B3">
        <v>9999</v>
      </c>
      <c r="C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69F6-824F-4F42-B19E-923EA785C2F9}">
  <sheetPr codeName="Hoja4"/>
  <dimension ref="A1:C3"/>
  <sheetViews>
    <sheetView workbookViewId="0">
      <selection activeCell="H32" sqref="H3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f>ROUND(2177*102,0)</f>
        <v>222054</v>
      </c>
      <c r="C2">
        <v>0</v>
      </c>
    </row>
    <row r="3" spans="1:3" x14ac:dyDescent="0.25">
      <c r="A3">
        <f>B2</f>
        <v>222054</v>
      </c>
      <c r="B3">
        <v>9999</v>
      </c>
      <c r="C3">
        <v>0.8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C97F-8D30-4C52-8A0A-09376B7F8D1C}">
  <dimension ref="A1:C3"/>
  <sheetViews>
    <sheetView workbookViewId="0">
      <selection activeCell="I33" sqref="I33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2177</v>
      </c>
      <c r="C2">
        <v>0</v>
      </c>
    </row>
    <row r="3" spans="1:3" x14ac:dyDescent="0.25">
      <c r="A3">
        <f>B2</f>
        <v>2177</v>
      </c>
      <c r="B3">
        <v>9999</v>
      </c>
      <c r="C3">
        <v>0.8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F2B3-0D5E-4EC1-8994-2723991C737F}">
  <dimension ref="A1:Q12"/>
  <sheetViews>
    <sheetView workbookViewId="0">
      <selection activeCell="I32" sqref="I32"/>
    </sheetView>
  </sheetViews>
  <sheetFormatPr baseColWidth="10" defaultRowHeight="15" x14ac:dyDescent="0.25"/>
  <cols>
    <col min="3" max="3" width="11.5703125" bestFit="1" customWidth="1"/>
    <col min="7" max="7" width="13.42578125" bestFit="1" customWidth="1"/>
  </cols>
  <sheetData>
    <row r="1" spans="1:17" x14ac:dyDescent="0.25">
      <c r="A1" s="11" t="s">
        <v>90</v>
      </c>
      <c r="B1" s="11"/>
      <c r="C1" s="11"/>
      <c r="E1" s="11" t="s">
        <v>91</v>
      </c>
      <c r="F1" s="11"/>
      <c r="G1" s="11"/>
    </row>
    <row r="2" spans="1:17" x14ac:dyDescent="0.25">
      <c r="A2" t="s">
        <v>92</v>
      </c>
      <c r="B2" t="s">
        <v>93</v>
      </c>
      <c r="C2" t="s">
        <v>94</v>
      </c>
      <c r="E2" t="s">
        <v>95</v>
      </c>
      <c r="F2" t="s">
        <v>96</v>
      </c>
      <c r="G2" t="s">
        <v>97</v>
      </c>
    </row>
    <row r="3" spans="1:17" x14ac:dyDescent="0.25">
      <c r="A3">
        <v>0</v>
      </c>
      <c r="B3">
        <f>ROUND(2100*1.03,0)</f>
        <v>2163</v>
      </c>
      <c r="C3">
        <v>0</v>
      </c>
      <c r="E3">
        <v>0</v>
      </c>
      <c r="F3">
        <f>ROUND(730*1.03,0)</f>
        <v>752</v>
      </c>
      <c r="G3">
        <v>0</v>
      </c>
    </row>
    <row r="4" spans="1:17" x14ac:dyDescent="0.25">
      <c r="A4">
        <f>B3</f>
        <v>2163</v>
      </c>
      <c r="B4">
        <v>9999</v>
      </c>
      <c r="C4">
        <v>0.9</v>
      </c>
      <c r="E4">
        <f>F3</f>
        <v>752</v>
      </c>
      <c r="F4">
        <v>9999</v>
      </c>
      <c r="G4">
        <v>0.9</v>
      </c>
    </row>
    <row r="12" spans="1:17" x14ac:dyDescent="0.25">
      <c r="Q12" s="10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0124-9B03-4207-AE5D-36EC0E6731D2}">
  <dimension ref="A1:Q12"/>
  <sheetViews>
    <sheetView workbookViewId="0">
      <selection activeCell="H23" sqref="H23"/>
    </sheetView>
  </sheetViews>
  <sheetFormatPr baseColWidth="10" defaultRowHeight="15" x14ac:dyDescent="0.25"/>
  <cols>
    <col min="3" max="3" width="11.5703125" bestFit="1" customWidth="1"/>
    <col min="7" max="7" width="13.42578125" bestFit="1" customWidth="1"/>
  </cols>
  <sheetData>
    <row r="1" spans="1:17" x14ac:dyDescent="0.25">
      <c r="A1" s="11" t="s">
        <v>90</v>
      </c>
      <c r="B1" s="11"/>
      <c r="C1" s="11"/>
      <c r="E1" s="11" t="s">
        <v>91</v>
      </c>
      <c r="F1" s="11"/>
      <c r="G1" s="11"/>
    </row>
    <row r="2" spans="1:17" x14ac:dyDescent="0.25">
      <c r="A2" t="s">
        <v>92</v>
      </c>
      <c r="B2" t="s">
        <v>93</v>
      </c>
      <c r="C2" t="s">
        <v>94</v>
      </c>
      <c r="E2" t="s">
        <v>95</v>
      </c>
      <c r="F2" t="s">
        <v>96</v>
      </c>
      <c r="G2" t="s">
        <v>97</v>
      </c>
    </row>
    <row r="3" spans="1:17" x14ac:dyDescent="0.25">
      <c r="A3">
        <v>0</v>
      </c>
      <c r="B3">
        <v>2100</v>
      </c>
      <c r="C3">
        <v>0</v>
      </c>
      <c r="E3">
        <v>0</v>
      </c>
      <c r="F3">
        <v>730</v>
      </c>
      <c r="G3">
        <v>0</v>
      </c>
    </row>
    <row r="4" spans="1:17" x14ac:dyDescent="0.25">
      <c r="A4">
        <f>B3</f>
        <v>2100</v>
      </c>
      <c r="B4">
        <v>9999</v>
      </c>
      <c r="C4">
        <v>0.9</v>
      </c>
      <c r="E4">
        <f>F3</f>
        <v>730</v>
      </c>
      <c r="F4">
        <v>9999</v>
      </c>
      <c r="G4">
        <v>0.9</v>
      </c>
    </row>
    <row r="12" spans="1:17" x14ac:dyDescent="0.25">
      <c r="Q12" s="10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990B-8448-4395-B4A6-A36F98978F15}">
  <sheetPr codeName="Hoja9"/>
  <dimension ref="A1:AC58"/>
  <sheetViews>
    <sheetView topLeftCell="A13" workbookViewId="0">
      <selection activeCell="O26" sqref="O26"/>
    </sheetView>
  </sheetViews>
  <sheetFormatPr baseColWidth="10" defaultRowHeight="15" x14ac:dyDescent="0.25"/>
  <cols>
    <col min="1" max="1" width="12.5703125" customWidth="1"/>
    <col min="3" max="3" width="25" customWidth="1"/>
    <col min="4" max="4" width="12.7109375" customWidth="1"/>
    <col min="6" max="6" width="6" customWidth="1"/>
    <col min="7" max="7" width="6.140625" customWidth="1"/>
    <col min="8" max="29" width="6" customWidth="1"/>
  </cols>
  <sheetData>
    <row r="1" spans="1:29" x14ac:dyDescent="0.25">
      <c r="A1" t="s">
        <v>40</v>
      </c>
      <c r="B1" t="s">
        <v>36</v>
      </c>
      <c r="C1" t="s">
        <v>43</v>
      </c>
      <c r="D1" t="s">
        <v>37</v>
      </c>
      <c r="E1" t="s">
        <v>38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</row>
    <row r="2" spans="1:29" x14ac:dyDescent="0.25">
      <c r="A2" t="s">
        <v>39</v>
      </c>
      <c r="B2" t="s">
        <v>54</v>
      </c>
      <c r="C2" t="s">
        <v>41</v>
      </c>
      <c r="D2" s="3">
        <v>45717</v>
      </c>
      <c r="E2" s="3">
        <v>46387</v>
      </c>
      <c r="F2">
        <v>1928</v>
      </c>
      <c r="G2">
        <v>1930</v>
      </c>
      <c r="H2">
        <v>1932</v>
      </c>
      <c r="I2">
        <v>1934</v>
      </c>
      <c r="J2">
        <v>1935</v>
      </c>
      <c r="K2">
        <v>1938</v>
      </c>
      <c r="L2">
        <v>1943</v>
      </c>
      <c r="M2">
        <v>1885</v>
      </c>
      <c r="N2">
        <v>1880</v>
      </c>
      <c r="O2">
        <v>1877</v>
      </c>
      <c r="P2">
        <v>1874</v>
      </c>
      <c r="Q2">
        <v>1870</v>
      </c>
      <c r="R2">
        <v>1868</v>
      </c>
      <c r="S2">
        <v>1862</v>
      </c>
      <c r="T2">
        <v>1858</v>
      </c>
      <c r="U2">
        <v>1855</v>
      </c>
      <c r="V2">
        <v>1860</v>
      </c>
      <c r="W2">
        <v>1864</v>
      </c>
      <c r="X2">
        <v>1847</v>
      </c>
      <c r="Y2">
        <v>1842</v>
      </c>
      <c r="Z2">
        <v>1838</v>
      </c>
      <c r="AA2">
        <v>1846</v>
      </c>
      <c r="AB2">
        <v>1848</v>
      </c>
      <c r="AC2">
        <v>1853</v>
      </c>
    </row>
    <row r="3" spans="1:29" x14ac:dyDescent="0.25">
      <c r="A3" t="s">
        <v>39</v>
      </c>
      <c r="B3" t="s">
        <v>55</v>
      </c>
      <c r="C3" t="s">
        <v>41</v>
      </c>
      <c r="D3" s="3">
        <v>45717</v>
      </c>
      <c r="E3" s="3">
        <v>46387</v>
      </c>
      <c r="F3">
        <v>1926</v>
      </c>
      <c r="G3">
        <v>1928</v>
      </c>
      <c r="H3">
        <v>1930</v>
      </c>
      <c r="I3">
        <v>1932</v>
      </c>
      <c r="J3">
        <v>1933</v>
      </c>
      <c r="K3">
        <v>1936</v>
      </c>
      <c r="L3">
        <v>1939</v>
      </c>
      <c r="M3">
        <v>1878</v>
      </c>
      <c r="N3">
        <v>1875</v>
      </c>
      <c r="O3">
        <v>1873</v>
      </c>
      <c r="P3">
        <v>1871</v>
      </c>
      <c r="Q3">
        <v>1868</v>
      </c>
      <c r="R3">
        <v>1867</v>
      </c>
      <c r="S3">
        <v>1863</v>
      </c>
      <c r="T3">
        <v>1859</v>
      </c>
      <c r="U3">
        <v>1859</v>
      </c>
      <c r="V3">
        <v>1861</v>
      </c>
      <c r="W3">
        <v>1862</v>
      </c>
      <c r="X3">
        <v>1846</v>
      </c>
      <c r="Y3">
        <v>1842</v>
      </c>
      <c r="Z3">
        <v>1840</v>
      </c>
      <c r="AA3">
        <v>1849</v>
      </c>
      <c r="AB3">
        <v>1848</v>
      </c>
      <c r="AC3">
        <v>1850</v>
      </c>
    </row>
    <row r="4" spans="1:29" x14ac:dyDescent="0.25">
      <c r="A4" t="s">
        <v>39</v>
      </c>
      <c r="B4" t="s">
        <v>56</v>
      </c>
      <c r="C4" t="s">
        <v>41</v>
      </c>
      <c r="D4" s="3">
        <v>45717</v>
      </c>
      <c r="E4" s="3">
        <v>46387</v>
      </c>
      <c r="F4">
        <v>1926</v>
      </c>
      <c r="G4">
        <v>1929</v>
      </c>
      <c r="H4">
        <v>1931</v>
      </c>
      <c r="I4">
        <v>1932</v>
      </c>
      <c r="J4">
        <v>1934</v>
      </c>
      <c r="K4">
        <v>1936</v>
      </c>
      <c r="L4">
        <v>1940</v>
      </c>
      <c r="M4">
        <v>1883</v>
      </c>
      <c r="N4">
        <v>1883</v>
      </c>
      <c r="O4">
        <v>1882</v>
      </c>
      <c r="P4">
        <v>1881</v>
      </c>
      <c r="Q4">
        <v>1877</v>
      </c>
      <c r="R4">
        <v>1874</v>
      </c>
      <c r="S4">
        <v>1870</v>
      </c>
      <c r="T4">
        <v>1866</v>
      </c>
      <c r="U4">
        <v>1865</v>
      </c>
      <c r="V4">
        <v>1865</v>
      </c>
      <c r="W4">
        <v>1866</v>
      </c>
      <c r="X4">
        <v>1849</v>
      </c>
      <c r="Y4">
        <v>1845</v>
      </c>
      <c r="Z4">
        <v>1842</v>
      </c>
      <c r="AA4">
        <v>1848</v>
      </c>
      <c r="AB4">
        <v>1847</v>
      </c>
      <c r="AC4">
        <v>1851</v>
      </c>
    </row>
    <row r="5" spans="1:29" x14ac:dyDescent="0.25">
      <c r="A5" t="s">
        <v>39</v>
      </c>
      <c r="B5" t="s">
        <v>54</v>
      </c>
      <c r="C5" t="s">
        <v>42</v>
      </c>
      <c r="D5" s="3">
        <v>45717</v>
      </c>
      <c r="E5" s="3">
        <v>46387</v>
      </c>
      <c r="F5">
        <v>1375</v>
      </c>
      <c r="G5">
        <v>1377</v>
      </c>
      <c r="H5">
        <v>1379</v>
      </c>
      <c r="I5">
        <v>1380</v>
      </c>
      <c r="J5">
        <v>1381</v>
      </c>
      <c r="K5">
        <v>1383</v>
      </c>
      <c r="L5">
        <v>1342</v>
      </c>
      <c r="M5">
        <v>1300</v>
      </c>
      <c r="N5">
        <v>1300</v>
      </c>
      <c r="O5">
        <v>1300</v>
      </c>
      <c r="P5">
        <v>1300</v>
      </c>
      <c r="Q5">
        <v>1300</v>
      </c>
      <c r="R5">
        <v>1300</v>
      </c>
      <c r="S5">
        <v>1300</v>
      </c>
      <c r="T5">
        <v>1300</v>
      </c>
      <c r="U5">
        <v>1300</v>
      </c>
      <c r="V5">
        <v>1300</v>
      </c>
      <c r="W5">
        <v>1377</v>
      </c>
      <c r="X5">
        <v>1371</v>
      </c>
      <c r="Y5">
        <v>1370</v>
      </c>
      <c r="Z5">
        <v>1368</v>
      </c>
      <c r="AA5">
        <v>1371</v>
      </c>
      <c r="AB5">
        <v>1372</v>
      </c>
      <c r="AC5">
        <v>1374</v>
      </c>
    </row>
    <row r="6" spans="1:29" x14ac:dyDescent="0.25">
      <c r="A6" t="s">
        <v>39</v>
      </c>
      <c r="B6" t="s">
        <v>55</v>
      </c>
      <c r="C6" t="s">
        <v>42</v>
      </c>
      <c r="D6" s="3">
        <v>45717</v>
      </c>
      <c r="E6" s="3">
        <v>46387</v>
      </c>
      <c r="F6">
        <v>1375</v>
      </c>
      <c r="G6">
        <v>1377</v>
      </c>
      <c r="H6">
        <v>1378</v>
      </c>
      <c r="I6">
        <v>1380</v>
      </c>
      <c r="J6">
        <v>1381</v>
      </c>
      <c r="K6">
        <v>1383</v>
      </c>
      <c r="L6">
        <v>1385</v>
      </c>
      <c r="M6">
        <v>1339</v>
      </c>
      <c r="N6">
        <v>1338</v>
      </c>
      <c r="O6">
        <v>1336</v>
      </c>
      <c r="P6">
        <v>1335</v>
      </c>
      <c r="Q6">
        <v>1332</v>
      </c>
      <c r="R6">
        <v>1332</v>
      </c>
      <c r="S6">
        <v>1329</v>
      </c>
      <c r="T6">
        <v>1327</v>
      </c>
      <c r="U6">
        <v>1326</v>
      </c>
      <c r="V6">
        <v>1327</v>
      </c>
      <c r="W6">
        <v>1328</v>
      </c>
      <c r="X6">
        <v>1317</v>
      </c>
      <c r="Y6">
        <v>1315</v>
      </c>
      <c r="Z6">
        <v>1313</v>
      </c>
      <c r="AA6">
        <v>1319</v>
      </c>
      <c r="AB6">
        <v>1319</v>
      </c>
      <c r="AC6">
        <v>1320</v>
      </c>
    </row>
    <row r="7" spans="1:29" x14ac:dyDescent="0.25">
      <c r="A7" t="s">
        <v>39</v>
      </c>
      <c r="B7" t="s">
        <v>56</v>
      </c>
      <c r="C7" t="s">
        <v>42</v>
      </c>
      <c r="D7" s="3">
        <v>45717</v>
      </c>
      <c r="E7" s="3">
        <v>46387</v>
      </c>
      <c r="F7">
        <v>1376</v>
      </c>
      <c r="G7">
        <v>1378</v>
      </c>
      <c r="H7">
        <v>1379</v>
      </c>
      <c r="I7">
        <v>1380</v>
      </c>
      <c r="J7">
        <v>1382</v>
      </c>
      <c r="K7">
        <v>1383</v>
      </c>
      <c r="L7">
        <v>1386</v>
      </c>
      <c r="M7">
        <v>1344</v>
      </c>
      <c r="N7">
        <v>1345</v>
      </c>
      <c r="O7">
        <v>1344</v>
      </c>
      <c r="P7">
        <v>1343</v>
      </c>
      <c r="Q7">
        <v>1341</v>
      </c>
      <c r="R7">
        <v>1338</v>
      </c>
      <c r="S7">
        <v>1335</v>
      </c>
      <c r="T7">
        <v>1333</v>
      </c>
      <c r="U7">
        <v>1331</v>
      </c>
      <c r="V7">
        <v>1331</v>
      </c>
      <c r="W7">
        <v>1331</v>
      </c>
      <c r="X7">
        <v>1319</v>
      </c>
      <c r="Y7">
        <v>1317</v>
      </c>
      <c r="Z7">
        <v>1314</v>
      </c>
      <c r="AA7">
        <v>1319</v>
      </c>
      <c r="AB7">
        <v>1318</v>
      </c>
      <c r="AC7">
        <v>1320</v>
      </c>
    </row>
    <row r="8" spans="1:29" x14ac:dyDescent="0.25">
      <c r="A8" t="s">
        <v>39</v>
      </c>
      <c r="B8" t="s">
        <v>54</v>
      </c>
      <c r="C8" t="s">
        <v>41</v>
      </c>
      <c r="D8" s="7">
        <v>46388</v>
      </c>
      <c r="E8" s="7">
        <v>46752</v>
      </c>
      <c r="F8">
        <v>2150</v>
      </c>
      <c r="G8">
        <v>2150</v>
      </c>
      <c r="H8">
        <v>2150</v>
      </c>
      <c r="I8">
        <v>2150</v>
      </c>
      <c r="J8">
        <v>2150</v>
      </c>
      <c r="K8">
        <v>2150</v>
      </c>
      <c r="L8">
        <v>2150</v>
      </c>
      <c r="M8">
        <v>2150</v>
      </c>
      <c r="N8">
        <v>2150</v>
      </c>
      <c r="O8">
        <v>2150</v>
      </c>
      <c r="P8">
        <v>2150</v>
      </c>
      <c r="Q8">
        <v>2150</v>
      </c>
      <c r="R8">
        <v>2150</v>
      </c>
      <c r="S8">
        <v>2150</v>
      </c>
      <c r="T8">
        <v>2150</v>
      </c>
      <c r="U8">
        <v>2150</v>
      </c>
      <c r="V8">
        <v>2150</v>
      </c>
      <c r="W8">
        <v>2150</v>
      </c>
      <c r="X8">
        <v>2150</v>
      </c>
      <c r="Y8">
        <v>2150</v>
      </c>
      <c r="Z8">
        <v>2150</v>
      </c>
      <c r="AA8">
        <v>2150</v>
      </c>
      <c r="AB8">
        <v>2150</v>
      </c>
      <c r="AC8">
        <v>2150</v>
      </c>
    </row>
    <row r="9" spans="1:29" x14ac:dyDescent="0.25">
      <c r="A9" t="s">
        <v>39</v>
      </c>
      <c r="B9" t="s">
        <v>55</v>
      </c>
      <c r="C9" t="s">
        <v>41</v>
      </c>
      <c r="D9" s="7">
        <v>46388</v>
      </c>
      <c r="E9" s="7">
        <v>46752</v>
      </c>
      <c r="F9">
        <v>2150</v>
      </c>
      <c r="G9">
        <v>2150</v>
      </c>
      <c r="H9">
        <v>2150</v>
      </c>
      <c r="I9">
        <v>2150</v>
      </c>
      <c r="J9">
        <v>2150</v>
      </c>
      <c r="K9">
        <v>2150</v>
      </c>
      <c r="L9">
        <v>2150</v>
      </c>
      <c r="M9">
        <v>2150</v>
      </c>
      <c r="N9">
        <v>2150</v>
      </c>
      <c r="O9">
        <v>2150</v>
      </c>
      <c r="P9">
        <v>2150</v>
      </c>
      <c r="Q9">
        <v>2150</v>
      </c>
      <c r="R9">
        <v>2150</v>
      </c>
      <c r="S9">
        <v>2150</v>
      </c>
      <c r="T9">
        <v>2150</v>
      </c>
      <c r="U9">
        <v>2150</v>
      </c>
      <c r="V9">
        <v>2150</v>
      </c>
      <c r="W9">
        <v>2150</v>
      </c>
      <c r="X9">
        <v>2150</v>
      </c>
      <c r="Y9">
        <v>2150</v>
      </c>
      <c r="Z9">
        <v>2150</v>
      </c>
      <c r="AA9">
        <v>2150</v>
      </c>
      <c r="AB9">
        <v>2150</v>
      </c>
      <c r="AC9">
        <v>2150</v>
      </c>
    </row>
    <row r="10" spans="1:29" x14ac:dyDescent="0.25">
      <c r="A10" t="s">
        <v>39</v>
      </c>
      <c r="B10" t="s">
        <v>56</v>
      </c>
      <c r="C10" t="s">
        <v>41</v>
      </c>
      <c r="D10" s="7">
        <v>46388</v>
      </c>
      <c r="E10" s="7">
        <v>46752</v>
      </c>
      <c r="F10">
        <v>2150</v>
      </c>
      <c r="G10">
        <v>2150</v>
      </c>
      <c r="H10">
        <v>2150</v>
      </c>
      <c r="I10">
        <v>2150</v>
      </c>
      <c r="J10">
        <v>2150</v>
      </c>
      <c r="K10">
        <v>2150</v>
      </c>
      <c r="L10">
        <v>2150</v>
      </c>
      <c r="M10">
        <v>2150</v>
      </c>
      <c r="N10">
        <v>2150</v>
      </c>
      <c r="O10">
        <v>2150</v>
      </c>
      <c r="P10">
        <v>2150</v>
      </c>
      <c r="Q10">
        <v>2150</v>
      </c>
      <c r="R10">
        <v>2150</v>
      </c>
      <c r="S10">
        <v>2150</v>
      </c>
      <c r="T10">
        <v>2150</v>
      </c>
      <c r="U10">
        <v>2150</v>
      </c>
      <c r="V10">
        <v>2150</v>
      </c>
      <c r="W10">
        <v>2150</v>
      </c>
      <c r="X10">
        <v>2150</v>
      </c>
      <c r="Y10">
        <v>2150</v>
      </c>
      <c r="Z10">
        <v>2150</v>
      </c>
      <c r="AA10">
        <v>2150</v>
      </c>
      <c r="AB10">
        <v>2150</v>
      </c>
      <c r="AC10">
        <v>2150</v>
      </c>
    </row>
    <row r="11" spans="1:29" x14ac:dyDescent="0.25">
      <c r="A11" t="s">
        <v>39</v>
      </c>
      <c r="B11" t="s">
        <v>54</v>
      </c>
      <c r="C11" t="s">
        <v>42</v>
      </c>
      <c r="D11" s="7">
        <v>46388</v>
      </c>
      <c r="E11" s="7">
        <v>46752</v>
      </c>
      <c r="F11">
        <v>1500</v>
      </c>
      <c r="G11">
        <v>1500</v>
      </c>
      <c r="H11">
        <v>1500</v>
      </c>
      <c r="I11">
        <v>1500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1500</v>
      </c>
      <c r="Q11">
        <v>1500</v>
      </c>
      <c r="R11">
        <v>1500</v>
      </c>
      <c r="S11">
        <v>1500</v>
      </c>
      <c r="T11">
        <v>1500</v>
      </c>
      <c r="U11">
        <v>1500</v>
      </c>
      <c r="V11">
        <v>1500</v>
      </c>
      <c r="W11">
        <v>1500</v>
      </c>
      <c r="X11">
        <v>1500</v>
      </c>
      <c r="Y11">
        <v>1500</v>
      </c>
      <c r="Z11">
        <v>1500</v>
      </c>
      <c r="AA11">
        <v>1500</v>
      </c>
      <c r="AB11">
        <v>1500</v>
      </c>
      <c r="AC11">
        <v>1500</v>
      </c>
    </row>
    <row r="12" spans="1:29" x14ac:dyDescent="0.25">
      <c r="A12" t="s">
        <v>39</v>
      </c>
      <c r="B12" t="s">
        <v>55</v>
      </c>
      <c r="C12" t="s">
        <v>42</v>
      </c>
      <c r="D12" s="7">
        <v>46388</v>
      </c>
      <c r="E12" s="7">
        <v>46752</v>
      </c>
      <c r="F12">
        <v>1500</v>
      </c>
      <c r="G12">
        <v>1500</v>
      </c>
      <c r="H12">
        <v>1500</v>
      </c>
      <c r="I12">
        <v>1500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>
        <v>1500</v>
      </c>
      <c r="Z12">
        <v>1500</v>
      </c>
      <c r="AA12">
        <v>1500</v>
      </c>
      <c r="AB12">
        <v>1500</v>
      </c>
      <c r="AC12">
        <v>1500</v>
      </c>
    </row>
    <row r="13" spans="1:29" x14ac:dyDescent="0.25">
      <c r="A13" t="s">
        <v>39</v>
      </c>
      <c r="B13" t="s">
        <v>56</v>
      </c>
      <c r="C13" t="s">
        <v>42</v>
      </c>
      <c r="D13" s="7">
        <v>46388</v>
      </c>
      <c r="E13" s="7">
        <v>46752</v>
      </c>
      <c r="F13">
        <v>1500</v>
      </c>
      <c r="G13">
        <v>1500</v>
      </c>
      <c r="H13">
        <v>1500</v>
      </c>
      <c r="I13">
        <v>1500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1500</v>
      </c>
      <c r="Q13">
        <v>1500</v>
      </c>
      <c r="R13">
        <v>1500</v>
      </c>
      <c r="S13">
        <v>1500</v>
      </c>
      <c r="T13">
        <v>1500</v>
      </c>
      <c r="U13">
        <v>1500</v>
      </c>
      <c r="V13">
        <v>1500</v>
      </c>
      <c r="W13">
        <v>1500</v>
      </c>
      <c r="X13">
        <v>1500</v>
      </c>
      <c r="Y13">
        <v>1500</v>
      </c>
      <c r="Z13">
        <v>1500</v>
      </c>
      <c r="AA13">
        <v>1500</v>
      </c>
      <c r="AB13">
        <v>1500</v>
      </c>
      <c r="AC13">
        <v>1500</v>
      </c>
    </row>
    <row r="14" spans="1:29" x14ac:dyDescent="0.25">
      <c r="A14" t="s">
        <v>39</v>
      </c>
      <c r="B14" t="s">
        <v>54</v>
      </c>
      <c r="C14" t="s">
        <v>41</v>
      </c>
      <c r="D14" s="5">
        <v>46753</v>
      </c>
      <c r="E14" s="5">
        <v>47118</v>
      </c>
      <c r="F14">
        <v>2500</v>
      </c>
      <c r="G14">
        <v>2500</v>
      </c>
      <c r="H14">
        <v>2500</v>
      </c>
      <c r="I14">
        <v>2500</v>
      </c>
      <c r="J14">
        <v>2500</v>
      </c>
      <c r="K14">
        <v>2500</v>
      </c>
      <c r="L14">
        <v>2500</v>
      </c>
      <c r="M14">
        <v>2500</v>
      </c>
      <c r="N14">
        <v>2500</v>
      </c>
      <c r="O14">
        <v>2500</v>
      </c>
      <c r="P14">
        <v>2500</v>
      </c>
      <c r="Q14">
        <v>2500</v>
      </c>
      <c r="R14">
        <v>2500</v>
      </c>
      <c r="S14">
        <v>2500</v>
      </c>
      <c r="T14">
        <v>2500</v>
      </c>
      <c r="U14">
        <v>2500</v>
      </c>
      <c r="V14">
        <v>2500</v>
      </c>
      <c r="W14">
        <v>2500</v>
      </c>
      <c r="X14">
        <v>2500</v>
      </c>
      <c r="Y14">
        <v>2500</v>
      </c>
      <c r="Z14">
        <v>2500</v>
      </c>
      <c r="AA14">
        <v>2500</v>
      </c>
      <c r="AB14">
        <v>2500</v>
      </c>
      <c r="AC14">
        <v>2500</v>
      </c>
    </row>
    <row r="15" spans="1:29" x14ac:dyDescent="0.25">
      <c r="A15" t="s">
        <v>39</v>
      </c>
      <c r="B15" t="s">
        <v>55</v>
      </c>
      <c r="C15" t="s">
        <v>41</v>
      </c>
      <c r="D15" s="5">
        <v>46753</v>
      </c>
      <c r="E15" s="5">
        <v>47118</v>
      </c>
      <c r="F15">
        <v>2500</v>
      </c>
      <c r="G15">
        <v>2500</v>
      </c>
      <c r="H15">
        <v>2500</v>
      </c>
      <c r="I15">
        <v>2500</v>
      </c>
      <c r="J15">
        <v>2500</v>
      </c>
      <c r="K15">
        <v>2500</v>
      </c>
      <c r="L15">
        <v>2500</v>
      </c>
      <c r="M15">
        <v>2500</v>
      </c>
      <c r="N15">
        <v>2500</v>
      </c>
      <c r="O15">
        <v>2500</v>
      </c>
      <c r="P15">
        <v>2500</v>
      </c>
      <c r="Q15">
        <v>2500</v>
      </c>
      <c r="R15">
        <v>2500</v>
      </c>
      <c r="S15">
        <v>2500</v>
      </c>
      <c r="T15">
        <v>2500</v>
      </c>
      <c r="U15">
        <v>2500</v>
      </c>
      <c r="V15">
        <v>2500</v>
      </c>
      <c r="W15">
        <v>2500</v>
      </c>
      <c r="X15">
        <v>2500</v>
      </c>
      <c r="Y15">
        <v>2500</v>
      </c>
      <c r="Z15">
        <v>2500</v>
      </c>
      <c r="AA15">
        <v>2500</v>
      </c>
      <c r="AB15">
        <v>2500</v>
      </c>
      <c r="AC15">
        <v>2500</v>
      </c>
    </row>
    <row r="16" spans="1:29" x14ac:dyDescent="0.25">
      <c r="A16" t="s">
        <v>39</v>
      </c>
      <c r="B16" t="s">
        <v>56</v>
      </c>
      <c r="C16" t="s">
        <v>41</v>
      </c>
      <c r="D16" s="5">
        <v>46753</v>
      </c>
      <c r="E16" s="5">
        <v>47118</v>
      </c>
      <c r="F16">
        <v>2500</v>
      </c>
      <c r="G16">
        <v>2500</v>
      </c>
      <c r="H16">
        <v>2500</v>
      </c>
      <c r="I16">
        <v>2500</v>
      </c>
      <c r="J16">
        <v>2500</v>
      </c>
      <c r="K16">
        <v>2500</v>
      </c>
      <c r="L16">
        <v>2500</v>
      </c>
      <c r="M16">
        <v>2500</v>
      </c>
      <c r="N16">
        <v>2500</v>
      </c>
      <c r="O16">
        <v>2500</v>
      </c>
      <c r="P16">
        <v>2500</v>
      </c>
      <c r="Q16">
        <v>2500</v>
      </c>
      <c r="R16">
        <v>2500</v>
      </c>
      <c r="S16">
        <v>2500</v>
      </c>
      <c r="T16">
        <v>2500</v>
      </c>
      <c r="U16">
        <v>2500</v>
      </c>
      <c r="V16">
        <v>2500</v>
      </c>
      <c r="W16">
        <v>2500</v>
      </c>
      <c r="X16">
        <v>2500</v>
      </c>
      <c r="Y16">
        <v>2500</v>
      </c>
      <c r="Z16">
        <v>2500</v>
      </c>
      <c r="AA16">
        <v>2500</v>
      </c>
      <c r="AB16">
        <v>2500</v>
      </c>
      <c r="AC16">
        <v>2500</v>
      </c>
    </row>
    <row r="17" spans="1:29" x14ac:dyDescent="0.25">
      <c r="A17" t="s">
        <v>39</v>
      </c>
      <c r="B17" t="s">
        <v>54</v>
      </c>
      <c r="C17" t="s">
        <v>42</v>
      </c>
      <c r="D17" s="5">
        <v>46753</v>
      </c>
      <c r="E17" s="5">
        <v>47118</v>
      </c>
      <c r="F17">
        <v>1600</v>
      </c>
      <c r="G17">
        <v>1600</v>
      </c>
      <c r="H17">
        <v>1600</v>
      </c>
      <c r="I17">
        <v>1600</v>
      </c>
      <c r="J17">
        <v>1600</v>
      </c>
      <c r="K17">
        <v>1600</v>
      </c>
      <c r="L17">
        <v>1600</v>
      </c>
      <c r="M17">
        <v>1600</v>
      </c>
      <c r="N17">
        <v>1600</v>
      </c>
      <c r="O17">
        <v>1600</v>
      </c>
      <c r="P17">
        <v>1600</v>
      </c>
      <c r="Q17">
        <v>1600</v>
      </c>
      <c r="R17">
        <v>1600</v>
      </c>
      <c r="S17">
        <v>1600</v>
      </c>
      <c r="T17">
        <v>1600</v>
      </c>
      <c r="U17">
        <v>1600</v>
      </c>
      <c r="V17">
        <v>1600</v>
      </c>
      <c r="W17">
        <v>1600</v>
      </c>
      <c r="X17">
        <v>1600</v>
      </c>
      <c r="Y17">
        <v>1600</v>
      </c>
      <c r="Z17">
        <v>1600</v>
      </c>
      <c r="AA17">
        <v>1600</v>
      </c>
      <c r="AB17">
        <v>1600</v>
      </c>
      <c r="AC17">
        <v>1600</v>
      </c>
    </row>
    <row r="18" spans="1:29" x14ac:dyDescent="0.25">
      <c r="A18" t="s">
        <v>39</v>
      </c>
      <c r="B18" t="s">
        <v>55</v>
      </c>
      <c r="C18" t="s">
        <v>42</v>
      </c>
      <c r="D18" s="5">
        <v>46753</v>
      </c>
      <c r="E18" s="5">
        <v>47118</v>
      </c>
      <c r="F18">
        <v>1600</v>
      </c>
      <c r="G18">
        <v>1600</v>
      </c>
      <c r="H18">
        <v>1600</v>
      </c>
      <c r="I18">
        <v>1600</v>
      </c>
      <c r="J18">
        <v>1600</v>
      </c>
      <c r="K18">
        <v>1600</v>
      </c>
      <c r="L18">
        <v>1600</v>
      </c>
      <c r="M18">
        <v>1600</v>
      </c>
      <c r="N18">
        <v>1600</v>
      </c>
      <c r="O18">
        <v>1600</v>
      </c>
      <c r="P18">
        <v>1600</v>
      </c>
      <c r="Q18">
        <v>1600</v>
      </c>
      <c r="R18">
        <v>1600</v>
      </c>
      <c r="S18">
        <v>1600</v>
      </c>
      <c r="T18">
        <v>1600</v>
      </c>
      <c r="U18">
        <v>1600</v>
      </c>
      <c r="V18">
        <v>1600</v>
      </c>
      <c r="W18">
        <v>1600</v>
      </c>
      <c r="X18">
        <v>1600</v>
      </c>
      <c r="Y18">
        <v>1600</v>
      </c>
      <c r="Z18">
        <v>1600</v>
      </c>
      <c r="AA18">
        <v>1600</v>
      </c>
      <c r="AB18">
        <v>1600</v>
      </c>
      <c r="AC18">
        <v>1600</v>
      </c>
    </row>
    <row r="19" spans="1:29" x14ac:dyDescent="0.25">
      <c r="A19" t="s">
        <v>39</v>
      </c>
      <c r="B19" t="s">
        <v>56</v>
      </c>
      <c r="C19" t="s">
        <v>42</v>
      </c>
      <c r="D19" s="5">
        <v>46753</v>
      </c>
      <c r="E19" s="5">
        <v>47118</v>
      </c>
      <c r="F19">
        <v>1600</v>
      </c>
      <c r="G19">
        <v>1600</v>
      </c>
      <c r="H19">
        <v>1600</v>
      </c>
      <c r="I19">
        <v>1600</v>
      </c>
      <c r="J19">
        <v>1600</v>
      </c>
      <c r="K19">
        <v>1600</v>
      </c>
      <c r="L19">
        <v>1600</v>
      </c>
      <c r="M19">
        <v>1600</v>
      </c>
      <c r="N19">
        <v>1600</v>
      </c>
      <c r="O19">
        <v>1600</v>
      </c>
      <c r="P19">
        <v>1600</v>
      </c>
      <c r="Q19">
        <v>1600</v>
      </c>
      <c r="R19">
        <v>1600</v>
      </c>
      <c r="S19">
        <v>1600</v>
      </c>
      <c r="T19">
        <v>1600</v>
      </c>
      <c r="U19">
        <v>1600</v>
      </c>
      <c r="V19">
        <v>1600</v>
      </c>
      <c r="W19">
        <v>1600</v>
      </c>
      <c r="X19">
        <v>1600</v>
      </c>
      <c r="Y19">
        <v>1600</v>
      </c>
      <c r="Z19">
        <v>1600</v>
      </c>
      <c r="AA19">
        <v>1600</v>
      </c>
      <c r="AB19">
        <v>1600</v>
      </c>
      <c r="AC19">
        <v>1600</v>
      </c>
    </row>
    <row r="20" spans="1:29" x14ac:dyDescent="0.25">
      <c r="A20" t="s">
        <v>39</v>
      </c>
      <c r="B20" t="s">
        <v>54</v>
      </c>
      <c r="C20" t="s">
        <v>41</v>
      </c>
      <c r="D20" s="6">
        <v>47119</v>
      </c>
      <c r="E20" s="6">
        <v>55153</v>
      </c>
      <c r="F20">
        <v>2550</v>
      </c>
      <c r="G20">
        <v>2550</v>
      </c>
      <c r="H20">
        <v>2550</v>
      </c>
      <c r="I20">
        <v>2550</v>
      </c>
      <c r="J20">
        <v>2550</v>
      </c>
      <c r="K20">
        <v>2550</v>
      </c>
      <c r="L20">
        <v>2550</v>
      </c>
      <c r="M20">
        <v>2550</v>
      </c>
      <c r="N20">
        <v>2550</v>
      </c>
      <c r="O20">
        <v>2550</v>
      </c>
      <c r="P20">
        <v>2550</v>
      </c>
      <c r="Q20">
        <v>2550</v>
      </c>
      <c r="R20">
        <v>2550</v>
      </c>
      <c r="S20">
        <v>2550</v>
      </c>
      <c r="T20">
        <v>2550</v>
      </c>
      <c r="U20">
        <v>2550</v>
      </c>
      <c r="V20">
        <v>2550</v>
      </c>
      <c r="W20">
        <v>2550</v>
      </c>
      <c r="X20">
        <v>2550</v>
      </c>
      <c r="Y20">
        <v>2550</v>
      </c>
      <c r="Z20">
        <v>2550</v>
      </c>
      <c r="AA20">
        <v>2550</v>
      </c>
      <c r="AB20">
        <v>2550</v>
      </c>
      <c r="AC20">
        <v>2550</v>
      </c>
    </row>
    <row r="21" spans="1:29" x14ac:dyDescent="0.25">
      <c r="A21" t="s">
        <v>39</v>
      </c>
      <c r="B21" t="s">
        <v>55</v>
      </c>
      <c r="C21" t="s">
        <v>41</v>
      </c>
      <c r="D21" s="6">
        <v>47119</v>
      </c>
      <c r="E21" s="6">
        <v>55153</v>
      </c>
      <c r="F21">
        <v>2550</v>
      </c>
      <c r="G21">
        <v>2550</v>
      </c>
      <c r="H21">
        <v>2550</v>
      </c>
      <c r="I21">
        <v>2550</v>
      </c>
      <c r="J21">
        <v>2550</v>
      </c>
      <c r="K21">
        <v>2550</v>
      </c>
      <c r="L21">
        <v>2550</v>
      </c>
      <c r="M21">
        <v>2550</v>
      </c>
      <c r="N21">
        <v>2550</v>
      </c>
      <c r="O21">
        <v>2550</v>
      </c>
      <c r="P21">
        <v>2550</v>
      </c>
      <c r="Q21">
        <v>2550</v>
      </c>
      <c r="R21">
        <v>2550</v>
      </c>
      <c r="S21">
        <v>2550</v>
      </c>
      <c r="T21">
        <v>2550</v>
      </c>
      <c r="U21">
        <v>2550</v>
      </c>
      <c r="V21">
        <v>2550</v>
      </c>
      <c r="W21">
        <v>2550</v>
      </c>
      <c r="X21">
        <v>2550</v>
      </c>
      <c r="Y21">
        <v>2550</v>
      </c>
      <c r="Z21">
        <v>2550</v>
      </c>
      <c r="AA21">
        <v>2550</v>
      </c>
      <c r="AB21">
        <v>2550</v>
      </c>
      <c r="AC21">
        <v>2550</v>
      </c>
    </row>
    <row r="22" spans="1:29" x14ac:dyDescent="0.25">
      <c r="A22" t="s">
        <v>39</v>
      </c>
      <c r="B22" t="s">
        <v>56</v>
      </c>
      <c r="C22" t="s">
        <v>41</v>
      </c>
      <c r="D22" s="6">
        <v>47119</v>
      </c>
      <c r="E22" s="6">
        <v>55153</v>
      </c>
      <c r="F22">
        <v>2550</v>
      </c>
      <c r="G22">
        <v>2550</v>
      </c>
      <c r="H22">
        <v>2550</v>
      </c>
      <c r="I22">
        <v>2550</v>
      </c>
      <c r="J22">
        <v>2550</v>
      </c>
      <c r="K22">
        <v>2550</v>
      </c>
      <c r="L22">
        <v>2550</v>
      </c>
      <c r="M22">
        <v>2550</v>
      </c>
      <c r="N22">
        <v>2550</v>
      </c>
      <c r="O22">
        <v>2550</v>
      </c>
      <c r="P22">
        <v>2550</v>
      </c>
      <c r="Q22">
        <v>2550</v>
      </c>
      <c r="R22">
        <v>2550</v>
      </c>
      <c r="S22">
        <v>2550</v>
      </c>
      <c r="T22">
        <v>2550</v>
      </c>
      <c r="U22">
        <v>2550</v>
      </c>
      <c r="V22">
        <v>2550</v>
      </c>
      <c r="W22">
        <v>2550</v>
      </c>
      <c r="X22">
        <v>2550</v>
      </c>
      <c r="Y22">
        <v>2550</v>
      </c>
      <c r="Z22">
        <v>2550</v>
      </c>
      <c r="AA22">
        <v>2550</v>
      </c>
      <c r="AB22">
        <v>2550</v>
      </c>
      <c r="AC22">
        <v>2550</v>
      </c>
    </row>
    <row r="23" spans="1:29" x14ac:dyDescent="0.25">
      <c r="A23" t="s">
        <v>39</v>
      </c>
      <c r="B23" t="s">
        <v>54</v>
      </c>
      <c r="C23" t="s">
        <v>42</v>
      </c>
      <c r="D23" s="6">
        <v>47119</v>
      </c>
      <c r="E23" s="6">
        <v>55153</v>
      </c>
      <c r="F23">
        <v>1650</v>
      </c>
      <c r="G23">
        <v>1650</v>
      </c>
      <c r="H23">
        <v>1650</v>
      </c>
      <c r="I23">
        <v>1650</v>
      </c>
      <c r="J23">
        <v>1650</v>
      </c>
      <c r="K23">
        <v>1650</v>
      </c>
      <c r="L23">
        <v>1650</v>
      </c>
      <c r="M23">
        <v>1650</v>
      </c>
      <c r="N23">
        <v>1650</v>
      </c>
      <c r="O23">
        <v>1650</v>
      </c>
      <c r="P23">
        <v>1650</v>
      </c>
      <c r="Q23">
        <v>1650</v>
      </c>
      <c r="R23">
        <v>1650</v>
      </c>
      <c r="S23">
        <v>1650</v>
      </c>
      <c r="T23">
        <v>1650</v>
      </c>
      <c r="U23">
        <v>1650</v>
      </c>
      <c r="V23">
        <v>1650</v>
      </c>
      <c r="W23">
        <v>1650</v>
      </c>
      <c r="X23">
        <v>1650</v>
      </c>
      <c r="Y23">
        <v>1650</v>
      </c>
      <c r="Z23">
        <v>1650</v>
      </c>
      <c r="AA23">
        <v>1650</v>
      </c>
      <c r="AB23">
        <v>1650</v>
      </c>
      <c r="AC23">
        <v>1650</v>
      </c>
    </row>
    <row r="24" spans="1:29" x14ac:dyDescent="0.25">
      <c r="A24" t="s">
        <v>39</v>
      </c>
      <c r="B24" t="s">
        <v>55</v>
      </c>
      <c r="C24" t="s">
        <v>42</v>
      </c>
      <c r="D24" s="6">
        <v>47119</v>
      </c>
      <c r="E24" s="6">
        <v>55153</v>
      </c>
      <c r="F24">
        <v>1650</v>
      </c>
      <c r="G24">
        <v>1650</v>
      </c>
      <c r="H24">
        <v>1650</v>
      </c>
      <c r="I24">
        <v>1650</v>
      </c>
      <c r="J24">
        <v>1650</v>
      </c>
      <c r="K24">
        <v>1650</v>
      </c>
      <c r="L24">
        <v>1650</v>
      </c>
      <c r="M24">
        <v>1650</v>
      </c>
      <c r="N24">
        <v>1650</v>
      </c>
      <c r="O24">
        <v>1650</v>
      </c>
      <c r="P24">
        <v>1650</v>
      </c>
      <c r="Q24">
        <v>1650</v>
      </c>
      <c r="R24">
        <v>1650</v>
      </c>
      <c r="S24">
        <v>1650</v>
      </c>
      <c r="T24">
        <v>1650</v>
      </c>
      <c r="U24">
        <v>1650</v>
      </c>
      <c r="V24">
        <v>1650</v>
      </c>
      <c r="W24">
        <v>1650</v>
      </c>
      <c r="X24">
        <v>1650</v>
      </c>
      <c r="Y24">
        <v>1650</v>
      </c>
      <c r="Z24">
        <v>1650</v>
      </c>
      <c r="AA24">
        <v>1650</v>
      </c>
      <c r="AB24">
        <v>1650</v>
      </c>
      <c r="AC24">
        <v>1650</v>
      </c>
    </row>
    <row r="25" spans="1:29" x14ac:dyDescent="0.25">
      <c r="A25" t="s">
        <v>39</v>
      </c>
      <c r="B25" t="s">
        <v>56</v>
      </c>
      <c r="C25" t="s">
        <v>42</v>
      </c>
      <c r="D25" s="6">
        <v>47119</v>
      </c>
      <c r="E25" s="6">
        <v>55153</v>
      </c>
      <c r="F25">
        <v>1650</v>
      </c>
      <c r="G25">
        <v>1650</v>
      </c>
      <c r="H25">
        <v>1650</v>
      </c>
      <c r="I25">
        <v>1650</v>
      </c>
      <c r="J25">
        <v>1650</v>
      </c>
      <c r="K25">
        <v>1650</v>
      </c>
      <c r="L25">
        <v>1650</v>
      </c>
      <c r="M25">
        <v>1650</v>
      </c>
      <c r="N25">
        <v>1650</v>
      </c>
      <c r="O25">
        <v>1650</v>
      </c>
      <c r="P25">
        <v>1650</v>
      </c>
      <c r="Q25">
        <v>1650</v>
      </c>
      <c r="R25">
        <v>1650</v>
      </c>
      <c r="S25">
        <v>1650</v>
      </c>
      <c r="T25">
        <v>1650</v>
      </c>
      <c r="U25">
        <v>1650</v>
      </c>
      <c r="V25">
        <v>1650</v>
      </c>
      <c r="W25">
        <v>1650</v>
      </c>
      <c r="X25">
        <v>1650</v>
      </c>
      <c r="Y25">
        <v>1650</v>
      </c>
      <c r="Z25">
        <v>1650</v>
      </c>
      <c r="AA25">
        <v>1650</v>
      </c>
      <c r="AB25">
        <v>1650</v>
      </c>
      <c r="AC25">
        <v>1650</v>
      </c>
    </row>
    <row r="26" spans="1:29" x14ac:dyDescent="0.25">
      <c r="A26" t="s">
        <v>44</v>
      </c>
      <c r="B26" t="s">
        <v>54</v>
      </c>
      <c r="C26" t="s">
        <v>45</v>
      </c>
      <c r="D26" s="3">
        <v>45717</v>
      </c>
      <c r="E26" s="3">
        <v>55153</v>
      </c>
      <c r="F26">
        <v>53</v>
      </c>
      <c r="G26">
        <v>53</v>
      </c>
      <c r="H26">
        <v>53</v>
      </c>
      <c r="I26">
        <v>53</v>
      </c>
      <c r="J26">
        <v>53</v>
      </c>
      <c r="K26">
        <v>53</v>
      </c>
      <c r="L26">
        <v>53</v>
      </c>
      <c r="M26">
        <v>53</v>
      </c>
      <c r="N26">
        <v>53</v>
      </c>
      <c r="O26">
        <v>53</v>
      </c>
      <c r="P26">
        <v>53</v>
      </c>
      <c r="Q26">
        <v>53</v>
      </c>
      <c r="R26">
        <v>53</v>
      </c>
      <c r="S26">
        <v>53</v>
      </c>
      <c r="T26">
        <v>53</v>
      </c>
      <c r="U26">
        <v>53</v>
      </c>
      <c r="V26">
        <v>53</v>
      </c>
      <c r="W26">
        <v>53</v>
      </c>
      <c r="X26">
        <v>53</v>
      </c>
      <c r="Y26">
        <v>53</v>
      </c>
      <c r="Z26">
        <v>53</v>
      </c>
      <c r="AA26">
        <v>53</v>
      </c>
      <c r="AB26">
        <v>53</v>
      </c>
      <c r="AC26">
        <v>53</v>
      </c>
    </row>
    <row r="27" spans="1:29" x14ac:dyDescent="0.25">
      <c r="A27" t="s">
        <v>44</v>
      </c>
      <c r="B27" t="s">
        <v>55</v>
      </c>
      <c r="C27" t="s">
        <v>45</v>
      </c>
      <c r="D27" s="3">
        <v>45717</v>
      </c>
      <c r="E27" s="3">
        <v>55153</v>
      </c>
      <c r="F27">
        <v>53</v>
      </c>
      <c r="G27">
        <v>53</v>
      </c>
      <c r="H27">
        <v>53</v>
      </c>
      <c r="I27">
        <v>53</v>
      </c>
      <c r="J27">
        <v>53</v>
      </c>
      <c r="K27">
        <v>53</v>
      </c>
      <c r="L27">
        <v>53</v>
      </c>
      <c r="M27">
        <v>53</v>
      </c>
      <c r="N27">
        <v>53</v>
      </c>
      <c r="O27">
        <v>53</v>
      </c>
      <c r="P27">
        <v>53</v>
      </c>
      <c r="Q27">
        <v>53</v>
      </c>
      <c r="R27">
        <v>53</v>
      </c>
      <c r="S27">
        <v>53</v>
      </c>
      <c r="T27">
        <v>53</v>
      </c>
      <c r="U27">
        <v>53</v>
      </c>
      <c r="V27">
        <v>53</v>
      </c>
      <c r="W27">
        <v>53</v>
      </c>
      <c r="X27">
        <v>53</v>
      </c>
      <c r="Y27">
        <v>53</v>
      </c>
      <c r="Z27">
        <v>53</v>
      </c>
      <c r="AA27">
        <v>53</v>
      </c>
      <c r="AB27">
        <v>53</v>
      </c>
      <c r="AC27">
        <v>53</v>
      </c>
    </row>
    <row r="28" spans="1:29" x14ac:dyDescent="0.25">
      <c r="A28" t="s">
        <v>44</v>
      </c>
      <c r="B28" t="s">
        <v>56</v>
      </c>
      <c r="C28" t="s">
        <v>45</v>
      </c>
      <c r="D28" s="3">
        <v>45717</v>
      </c>
      <c r="E28" s="3">
        <v>55153</v>
      </c>
      <c r="F28">
        <v>53</v>
      </c>
      <c r="G28">
        <v>53</v>
      </c>
      <c r="H28">
        <v>53</v>
      </c>
      <c r="I28">
        <v>53</v>
      </c>
      <c r="J28">
        <v>53</v>
      </c>
      <c r="K28">
        <v>53</v>
      </c>
      <c r="L28">
        <v>53</v>
      </c>
      <c r="M28">
        <v>53</v>
      </c>
      <c r="N28">
        <v>53</v>
      </c>
      <c r="O28">
        <v>53</v>
      </c>
      <c r="P28">
        <v>53</v>
      </c>
      <c r="Q28">
        <v>53</v>
      </c>
      <c r="R28">
        <v>53</v>
      </c>
      <c r="S28">
        <v>53</v>
      </c>
      <c r="T28">
        <v>53</v>
      </c>
      <c r="U28">
        <v>53</v>
      </c>
      <c r="V28">
        <v>53</v>
      </c>
      <c r="W28">
        <v>53</v>
      </c>
      <c r="X28">
        <v>53</v>
      </c>
      <c r="Y28">
        <v>53</v>
      </c>
      <c r="Z28">
        <v>53</v>
      </c>
      <c r="AA28">
        <v>53</v>
      </c>
      <c r="AB28">
        <v>53</v>
      </c>
      <c r="AC28">
        <v>53</v>
      </c>
    </row>
    <row r="29" spans="1:29" ht="16.5" customHeight="1" x14ac:dyDescent="0.25">
      <c r="A29" t="s">
        <v>44</v>
      </c>
      <c r="B29" t="s">
        <v>54</v>
      </c>
      <c r="C29" t="s">
        <v>46</v>
      </c>
      <c r="D29" s="3">
        <v>45717</v>
      </c>
      <c r="E29" s="3">
        <v>45900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42</v>
      </c>
      <c r="R29">
        <v>42</v>
      </c>
      <c r="S29">
        <v>42</v>
      </c>
      <c r="T29">
        <v>42</v>
      </c>
      <c r="U29">
        <v>42</v>
      </c>
      <c r="V29">
        <v>0</v>
      </c>
      <c r="W29">
        <v>0</v>
      </c>
      <c r="X29">
        <v>42</v>
      </c>
      <c r="Y29">
        <v>42</v>
      </c>
      <c r="Z29">
        <v>42</v>
      </c>
      <c r="AA29">
        <v>42</v>
      </c>
      <c r="AB29">
        <v>42</v>
      </c>
      <c r="AC29">
        <v>42</v>
      </c>
    </row>
    <row r="30" spans="1:29" x14ac:dyDescent="0.25">
      <c r="A30" t="s">
        <v>44</v>
      </c>
      <c r="B30" t="s">
        <v>55</v>
      </c>
      <c r="C30" t="s">
        <v>46</v>
      </c>
      <c r="D30" s="3">
        <v>45717</v>
      </c>
      <c r="E30" s="3">
        <v>45900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42</v>
      </c>
      <c r="Y30">
        <v>42</v>
      </c>
      <c r="Z30">
        <v>42</v>
      </c>
      <c r="AA30">
        <v>0</v>
      </c>
      <c r="AB30">
        <v>0</v>
      </c>
      <c r="AC30">
        <v>0</v>
      </c>
    </row>
    <row r="31" spans="1:29" x14ac:dyDescent="0.25">
      <c r="A31" t="s">
        <v>44</v>
      </c>
      <c r="B31" t="s">
        <v>56</v>
      </c>
      <c r="C31" t="s">
        <v>46</v>
      </c>
      <c r="D31" s="3">
        <v>45717</v>
      </c>
      <c r="E31" s="3">
        <v>45900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42</v>
      </c>
      <c r="AA31">
        <v>0</v>
      </c>
      <c r="AB31">
        <v>0</v>
      </c>
      <c r="AC31">
        <v>0</v>
      </c>
    </row>
    <row r="32" spans="1:29" ht="16.5" customHeight="1" x14ac:dyDescent="0.25">
      <c r="A32" t="s">
        <v>44</v>
      </c>
      <c r="B32" t="s">
        <v>54</v>
      </c>
      <c r="C32" t="s">
        <v>73</v>
      </c>
      <c r="D32" s="3">
        <v>45717</v>
      </c>
      <c r="E32" s="3">
        <v>45900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42</v>
      </c>
      <c r="R32">
        <v>42</v>
      </c>
      <c r="S32">
        <v>42</v>
      </c>
      <c r="T32">
        <v>42</v>
      </c>
      <c r="U32">
        <v>42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t="s">
        <v>44</v>
      </c>
      <c r="B33" t="s">
        <v>55</v>
      </c>
      <c r="C33" t="s">
        <v>73</v>
      </c>
      <c r="D33" s="3">
        <v>45717</v>
      </c>
      <c r="E33" s="3">
        <v>45900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t="s">
        <v>44</v>
      </c>
      <c r="B34" t="s">
        <v>56</v>
      </c>
      <c r="C34" t="s">
        <v>73</v>
      </c>
      <c r="D34" s="3">
        <v>45717</v>
      </c>
      <c r="E34" s="3">
        <v>45900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t="s">
        <v>44</v>
      </c>
      <c r="B35" t="s">
        <v>54</v>
      </c>
      <c r="C35" t="s">
        <v>47</v>
      </c>
      <c r="D35" s="3">
        <v>45717</v>
      </c>
      <c r="E35" s="3">
        <v>46375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t="s">
        <v>44</v>
      </c>
      <c r="B36" t="s">
        <v>55</v>
      </c>
      <c r="C36" t="s">
        <v>47</v>
      </c>
      <c r="D36" s="3">
        <v>45717</v>
      </c>
      <c r="E36" s="3">
        <v>46375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t="s">
        <v>44</v>
      </c>
      <c r="B37" t="s">
        <v>56</v>
      </c>
      <c r="C37" t="s">
        <v>47</v>
      </c>
      <c r="D37" s="3">
        <v>45717</v>
      </c>
      <c r="E37" s="3">
        <v>46375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t="s">
        <v>44</v>
      </c>
      <c r="B38" t="s">
        <v>54</v>
      </c>
      <c r="C38" t="s">
        <v>47</v>
      </c>
      <c r="D38" s="3">
        <v>46376</v>
      </c>
      <c r="E38" s="3">
        <v>55153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">
        <v>44</v>
      </c>
      <c r="B39" t="s">
        <v>55</v>
      </c>
      <c r="C39" t="s">
        <v>47</v>
      </c>
      <c r="D39" s="3">
        <v>46376</v>
      </c>
      <c r="E39" s="3">
        <v>55153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">
        <v>44</v>
      </c>
      <c r="B40" t="s">
        <v>56</v>
      </c>
      <c r="C40" t="s">
        <v>47</v>
      </c>
      <c r="D40" s="3">
        <v>46376</v>
      </c>
      <c r="E40" s="3">
        <v>55153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t="s">
        <v>44</v>
      </c>
      <c r="B41" t="s">
        <v>54</v>
      </c>
      <c r="C41" t="s">
        <v>48</v>
      </c>
      <c r="D41" s="3">
        <v>45717</v>
      </c>
      <c r="E41" s="3">
        <v>55153</v>
      </c>
      <c r="F41">
        <v>72</v>
      </c>
      <c r="G41">
        <v>72</v>
      </c>
      <c r="H41">
        <v>72</v>
      </c>
      <c r="I41">
        <v>72</v>
      </c>
      <c r="J41">
        <v>72</v>
      </c>
      <c r="K41">
        <v>72</v>
      </c>
      <c r="L41">
        <v>72</v>
      </c>
      <c r="M41">
        <v>72</v>
      </c>
      <c r="N41">
        <v>72</v>
      </c>
      <c r="O41">
        <v>72</v>
      </c>
      <c r="P41">
        <v>72</v>
      </c>
      <c r="Q41">
        <v>72</v>
      </c>
      <c r="R41">
        <v>72</v>
      </c>
      <c r="S41">
        <v>72</v>
      </c>
      <c r="T41">
        <v>72</v>
      </c>
      <c r="U41">
        <v>72</v>
      </c>
      <c r="V41">
        <v>72</v>
      </c>
      <c r="W41">
        <v>72</v>
      </c>
      <c r="X41">
        <v>72</v>
      </c>
      <c r="Y41">
        <v>72</v>
      </c>
      <c r="Z41">
        <v>72</v>
      </c>
      <c r="AA41">
        <v>72</v>
      </c>
      <c r="AB41">
        <v>72</v>
      </c>
      <c r="AC41">
        <v>72</v>
      </c>
    </row>
    <row r="42" spans="1:29" x14ac:dyDescent="0.25">
      <c r="A42" t="s">
        <v>44</v>
      </c>
      <c r="B42" t="s">
        <v>55</v>
      </c>
      <c r="C42" t="s">
        <v>48</v>
      </c>
      <c r="D42" s="3">
        <v>45717</v>
      </c>
      <c r="E42" s="3">
        <v>55153</v>
      </c>
      <c r="F42">
        <v>72</v>
      </c>
      <c r="G42">
        <v>72</v>
      </c>
      <c r="H42">
        <v>72</v>
      </c>
      <c r="I42">
        <v>72</v>
      </c>
      <c r="J42">
        <v>72</v>
      </c>
      <c r="K42">
        <v>72</v>
      </c>
      <c r="L42">
        <v>72</v>
      </c>
      <c r="M42">
        <v>72</v>
      </c>
      <c r="N42">
        <v>72</v>
      </c>
      <c r="O42">
        <v>72</v>
      </c>
      <c r="P42">
        <v>72</v>
      </c>
      <c r="Q42">
        <v>72</v>
      </c>
      <c r="R42">
        <v>72</v>
      </c>
      <c r="S42">
        <v>72</v>
      </c>
      <c r="T42">
        <v>72</v>
      </c>
      <c r="U42">
        <v>72</v>
      </c>
      <c r="V42">
        <v>72</v>
      </c>
      <c r="W42">
        <v>72</v>
      </c>
      <c r="X42">
        <v>72</v>
      </c>
      <c r="Y42">
        <v>72</v>
      </c>
      <c r="Z42">
        <v>72</v>
      </c>
      <c r="AA42">
        <v>72</v>
      </c>
      <c r="AB42">
        <v>72</v>
      </c>
      <c r="AC42">
        <v>72</v>
      </c>
    </row>
    <row r="43" spans="1:29" x14ac:dyDescent="0.25">
      <c r="A43" t="s">
        <v>44</v>
      </c>
      <c r="B43" t="s">
        <v>56</v>
      </c>
      <c r="C43" t="s">
        <v>48</v>
      </c>
      <c r="D43" s="3">
        <v>45717</v>
      </c>
      <c r="E43" s="3">
        <v>55153</v>
      </c>
      <c r="F43">
        <v>72</v>
      </c>
      <c r="G43">
        <v>72</v>
      </c>
      <c r="H43">
        <v>72</v>
      </c>
      <c r="I43">
        <v>72</v>
      </c>
      <c r="J43">
        <v>72</v>
      </c>
      <c r="K43">
        <v>72</v>
      </c>
      <c r="L43">
        <v>72</v>
      </c>
      <c r="M43">
        <v>72</v>
      </c>
      <c r="N43">
        <v>72</v>
      </c>
      <c r="O43">
        <v>72</v>
      </c>
      <c r="P43">
        <v>72</v>
      </c>
      <c r="Q43">
        <v>72</v>
      </c>
      <c r="R43">
        <v>72</v>
      </c>
      <c r="S43">
        <v>72</v>
      </c>
      <c r="T43">
        <v>72</v>
      </c>
      <c r="U43">
        <v>72</v>
      </c>
      <c r="V43">
        <v>72</v>
      </c>
      <c r="W43">
        <v>72</v>
      </c>
      <c r="X43">
        <v>72</v>
      </c>
      <c r="Y43">
        <v>72</v>
      </c>
      <c r="Z43">
        <v>72</v>
      </c>
      <c r="AA43">
        <v>72</v>
      </c>
      <c r="AB43">
        <v>72</v>
      </c>
      <c r="AC43">
        <v>72</v>
      </c>
    </row>
    <row r="44" spans="1:29" x14ac:dyDescent="0.25">
      <c r="A44" t="s">
        <v>44</v>
      </c>
      <c r="B44" t="s">
        <v>54</v>
      </c>
      <c r="C44" t="s">
        <v>49</v>
      </c>
      <c r="D44" s="3">
        <v>45717</v>
      </c>
      <c r="E44" s="3">
        <v>55153</v>
      </c>
      <c r="F44">
        <v>72</v>
      </c>
      <c r="G44">
        <v>72</v>
      </c>
      <c r="H44">
        <v>72</v>
      </c>
      <c r="I44">
        <v>72</v>
      </c>
      <c r="J44">
        <v>72</v>
      </c>
      <c r="K44">
        <v>72</v>
      </c>
      <c r="L44">
        <v>72</v>
      </c>
      <c r="M44">
        <v>72</v>
      </c>
      <c r="N44">
        <v>72</v>
      </c>
      <c r="O44">
        <v>72</v>
      </c>
      <c r="P44">
        <v>72</v>
      </c>
      <c r="Q44">
        <v>72</v>
      </c>
      <c r="R44">
        <v>72</v>
      </c>
      <c r="S44">
        <v>72</v>
      </c>
      <c r="T44">
        <v>72</v>
      </c>
      <c r="U44">
        <v>72</v>
      </c>
      <c r="V44">
        <v>72</v>
      </c>
      <c r="W44">
        <v>72</v>
      </c>
      <c r="X44">
        <v>72</v>
      </c>
      <c r="Y44">
        <v>72</v>
      </c>
      <c r="Z44">
        <v>72</v>
      </c>
      <c r="AA44">
        <v>72</v>
      </c>
      <c r="AB44">
        <v>72</v>
      </c>
      <c r="AC44">
        <v>72</v>
      </c>
    </row>
    <row r="45" spans="1:29" x14ac:dyDescent="0.25">
      <c r="A45" t="s">
        <v>44</v>
      </c>
      <c r="B45" t="s">
        <v>55</v>
      </c>
      <c r="C45" t="s">
        <v>49</v>
      </c>
      <c r="D45" s="3">
        <v>45717</v>
      </c>
      <c r="E45" s="3">
        <v>55153</v>
      </c>
      <c r="F45">
        <v>72</v>
      </c>
      <c r="G45">
        <v>72</v>
      </c>
      <c r="H45">
        <v>72</v>
      </c>
      <c r="I45">
        <v>72</v>
      </c>
      <c r="J45">
        <v>72</v>
      </c>
      <c r="K45">
        <v>72</v>
      </c>
      <c r="L45">
        <v>72</v>
      </c>
      <c r="M45">
        <v>72</v>
      </c>
      <c r="N45">
        <v>72</v>
      </c>
      <c r="O45">
        <v>72</v>
      </c>
      <c r="P45">
        <v>72</v>
      </c>
      <c r="Q45">
        <v>72</v>
      </c>
      <c r="R45">
        <v>72</v>
      </c>
      <c r="S45">
        <v>72</v>
      </c>
      <c r="T45">
        <v>72</v>
      </c>
      <c r="U45">
        <v>72</v>
      </c>
      <c r="V45">
        <v>72</v>
      </c>
      <c r="W45">
        <v>72</v>
      </c>
      <c r="X45">
        <v>72</v>
      </c>
      <c r="Y45">
        <v>72</v>
      </c>
      <c r="Z45">
        <v>72</v>
      </c>
      <c r="AA45">
        <v>72</v>
      </c>
      <c r="AB45">
        <v>72</v>
      </c>
      <c r="AC45">
        <v>72</v>
      </c>
    </row>
    <row r="46" spans="1:29" x14ac:dyDescent="0.25">
      <c r="A46" t="s">
        <v>44</v>
      </c>
      <c r="B46" t="s">
        <v>56</v>
      </c>
      <c r="C46" t="s">
        <v>49</v>
      </c>
      <c r="D46" s="3">
        <v>45717</v>
      </c>
      <c r="E46" s="3">
        <v>55153</v>
      </c>
      <c r="F46">
        <v>72</v>
      </c>
      <c r="G46">
        <v>72</v>
      </c>
      <c r="H46">
        <v>72</v>
      </c>
      <c r="I46">
        <v>72</v>
      </c>
      <c r="J46">
        <v>72</v>
      </c>
      <c r="K46">
        <v>72</v>
      </c>
      <c r="L46">
        <v>72</v>
      </c>
      <c r="M46">
        <v>72</v>
      </c>
      <c r="N46">
        <v>72</v>
      </c>
      <c r="O46">
        <v>72</v>
      </c>
      <c r="P46">
        <v>72</v>
      </c>
      <c r="Q46">
        <v>72</v>
      </c>
      <c r="R46">
        <v>72</v>
      </c>
      <c r="S46">
        <v>72</v>
      </c>
      <c r="T46">
        <v>72</v>
      </c>
      <c r="U46">
        <v>72</v>
      </c>
      <c r="V46">
        <v>72</v>
      </c>
      <c r="W46">
        <v>72</v>
      </c>
      <c r="X46">
        <v>72</v>
      </c>
      <c r="Y46">
        <v>72</v>
      </c>
      <c r="Z46">
        <v>72</v>
      </c>
      <c r="AA46">
        <v>72</v>
      </c>
      <c r="AB46">
        <v>72</v>
      </c>
      <c r="AC46">
        <v>72</v>
      </c>
    </row>
    <row r="47" spans="1:29" x14ac:dyDescent="0.25">
      <c r="A47" t="s">
        <v>50</v>
      </c>
      <c r="B47" t="s">
        <v>54</v>
      </c>
      <c r="C47" t="s">
        <v>51</v>
      </c>
      <c r="D47" s="3">
        <v>45717</v>
      </c>
      <c r="E47" s="3">
        <v>55153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0.25</v>
      </c>
      <c r="Z47">
        <v>0.25</v>
      </c>
      <c r="AA47">
        <v>0.25</v>
      </c>
      <c r="AB47">
        <v>0</v>
      </c>
      <c r="AC47">
        <v>0</v>
      </c>
    </row>
    <row r="48" spans="1:29" x14ac:dyDescent="0.25">
      <c r="A48" t="s">
        <v>50</v>
      </c>
      <c r="B48" t="s">
        <v>55</v>
      </c>
      <c r="C48" t="s">
        <v>51</v>
      </c>
      <c r="D48" s="3">
        <v>45717</v>
      </c>
      <c r="E48" s="3">
        <v>55153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0.25</v>
      </c>
      <c r="Z48">
        <v>0.25</v>
      </c>
      <c r="AA48">
        <v>0</v>
      </c>
      <c r="AB48">
        <v>0</v>
      </c>
      <c r="AC48">
        <v>0</v>
      </c>
    </row>
    <row r="49" spans="1:29" x14ac:dyDescent="0.25">
      <c r="A49" t="s">
        <v>50</v>
      </c>
      <c r="B49" t="s">
        <v>56</v>
      </c>
      <c r="C49" t="s">
        <v>51</v>
      </c>
      <c r="D49" s="3">
        <v>45717</v>
      </c>
      <c r="E49" s="3">
        <v>55153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t="s">
        <v>50</v>
      </c>
      <c r="B50" t="s">
        <v>54</v>
      </c>
      <c r="C50" t="s">
        <v>52</v>
      </c>
      <c r="D50" s="3">
        <v>45717</v>
      </c>
      <c r="E50" s="3">
        <v>55153</v>
      </c>
      <c r="F50">
        <v>0.8</v>
      </c>
      <c r="G50">
        <v>0.5</v>
      </c>
      <c r="H50">
        <v>0.5</v>
      </c>
      <c r="I50">
        <v>0.5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</v>
      </c>
      <c r="S50">
        <v>0.5</v>
      </c>
      <c r="T50">
        <v>0.8</v>
      </c>
      <c r="U50">
        <v>0.8</v>
      </c>
      <c r="V50">
        <v>0.8</v>
      </c>
      <c r="W50">
        <v>0.8</v>
      </c>
      <c r="X50">
        <v>1.8</v>
      </c>
      <c r="Y50">
        <v>1.8</v>
      </c>
      <c r="Z50">
        <v>1.8</v>
      </c>
      <c r="AA50">
        <v>1.5</v>
      </c>
      <c r="AB50">
        <v>1.5</v>
      </c>
      <c r="AC50">
        <v>1</v>
      </c>
    </row>
    <row r="51" spans="1:29" x14ac:dyDescent="0.25">
      <c r="A51" t="s">
        <v>50</v>
      </c>
      <c r="B51" t="s">
        <v>55</v>
      </c>
      <c r="C51" t="s">
        <v>52</v>
      </c>
      <c r="D51" s="3">
        <v>45717</v>
      </c>
      <c r="E51" s="3">
        <v>55153</v>
      </c>
      <c r="F51">
        <v>0.8</v>
      </c>
      <c r="G51">
        <v>0.8</v>
      </c>
      <c r="H51">
        <v>0.8</v>
      </c>
      <c r="I51">
        <v>0.5</v>
      </c>
      <c r="J51">
        <v>0.5</v>
      </c>
      <c r="K51">
        <v>0.5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0.5</v>
      </c>
      <c r="T51">
        <v>0.5</v>
      </c>
      <c r="U51">
        <v>0.5</v>
      </c>
      <c r="V51">
        <v>0.5</v>
      </c>
      <c r="W51">
        <v>0.5</v>
      </c>
      <c r="X51">
        <v>1.8</v>
      </c>
      <c r="Y51">
        <v>1.8</v>
      </c>
      <c r="Z51">
        <v>1.8</v>
      </c>
      <c r="AA51">
        <v>1.5</v>
      </c>
      <c r="AB51">
        <v>1</v>
      </c>
      <c r="AC51">
        <v>1</v>
      </c>
    </row>
    <row r="52" spans="1:29" x14ac:dyDescent="0.25">
      <c r="A52" t="s">
        <v>50</v>
      </c>
      <c r="B52" t="s">
        <v>56</v>
      </c>
      <c r="C52" t="s">
        <v>52</v>
      </c>
      <c r="D52" s="3">
        <v>45717</v>
      </c>
      <c r="E52" s="3">
        <v>55153</v>
      </c>
      <c r="F52">
        <v>0.8</v>
      </c>
      <c r="G52">
        <v>0.8</v>
      </c>
      <c r="H52">
        <v>0.8</v>
      </c>
      <c r="I52">
        <v>0.5</v>
      </c>
      <c r="J52">
        <v>0.5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0.5</v>
      </c>
      <c r="V52">
        <v>0.5</v>
      </c>
      <c r="W52">
        <v>0.5</v>
      </c>
      <c r="X52">
        <v>1.5</v>
      </c>
      <c r="Y52">
        <v>1.6</v>
      </c>
      <c r="Z52">
        <v>1.6</v>
      </c>
      <c r="AA52">
        <v>1.6</v>
      </c>
      <c r="AB52">
        <v>1.5</v>
      </c>
      <c r="AC52">
        <v>1.5</v>
      </c>
    </row>
    <row r="53" spans="1:29" x14ac:dyDescent="0.25">
      <c r="A53" t="s">
        <v>50</v>
      </c>
      <c r="B53" t="s">
        <v>54</v>
      </c>
      <c r="C53" t="s">
        <v>53</v>
      </c>
      <c r="D53" s="3">
        <v>45717</v>
      </c>
      <c r="E53" s="3">
        <v>55153</v>
      </c>
      <c r="F53">
        <v>79.97</v>
      </c>
      <c r="G53">
        <v>73.09</v>
      </c>
      <c r="H53">
        <v>67.349999999999994</v>
      </c>
      <c r="I53">
        <v>60.86</v>
      </c>
      <c r="J53">
        <v>56.42</v>
      </c>
      <c r="K53">
        <v>46.7</v>
      </c>
      <c r="L53">
        <v>31.02</v>
      </c>
      <c r="M53">
        <v>42.08</v>
      </c>
      <c r="N53">
        <v>50.3</v>
      </c>
      <c r="O53">
        <v>56.44</v>
      </c>
      <c r="P53">
        <v>61.24</v>
      </c>
      <c r="Q53">
        <v>68.510000000000005</v>
      </c>
      <c r="R53">
        <v>71.290000000000006</v>
      </c>
      <c r="S53">
        <v>82.92</v>
      </c>
      <c r="T53">
        <v>88.72</v>
      </c>
      <c r="U53">
        <v>93.39</v>
      </c>
      <c r="V53">
        <v>85.96</v>
      </c>
      <c r="W53">
        <v>79.72</v>
      </c>
      <c r="X53">
        <v>105.4</v>
      </c>
      <c r="Y53">
        <v>112.92</v>
      </c>
      <c r="Z53">
        <v>119.46</v>
      </c>
      <c r="AA53">
        <v>107.53</v>
      </c>
      <c r="AB53">
        <v>105.99</v>
      </c>
      <c r="AC53">
        <v>96.46</v>
      </c>
    </row>
    <row r="54" spans="1:29" x14ac:dyDescent="0.25">
      <c r="A54" t="s">
        <v>50</v>
      </c>
      <c r="B54" t="s">
        <v>55</v>
      </c>
      <c r="C54" t="s">
        <v>53</v>
      </c>
      <c r="D54" s="3">
        <v>45717</v>
      </c>
      <c r="E54" s="3">
        <v>55153</v>
      </c>
      <c r="F54">
        <v>87.69</v>
      </c>
      <c r="G54">
        <v>80.64</v>
      </c>
      <c r="H54">
        <v>74.709999999999994</v>
      </c>
      <c r="I54">
        <v>68.52</v>
      </c>
      <c r="J54">
        <v>64.05</v>
      </c>
      <c r="K54">
        <v>56.05</v>
      </c>
      <c r="L54">
        <v>46.65</v>
      </c>
      <c r="M54">
        <v>56.42</v>
      </c>
      <c r="N54">
        <v>60.05</v>
      </c>
      <c r="O54">
        <v>64.25</v>
      </c>
      <c r="P54">
        <v>66.02</v>
      </c>
      <c r="Q54">
        <v>71.52</v>
      </c>
      <c r="R54">
        <v>73.180000000000007</v>
      </c>
      <c r="S54">
        <v>78.59</v>
      </c>
      <c r="T54">
        <v>84.31</v>
      </c>
      <c r="U54">
        <v>85.94</v>
      </c>
      <c r="V54">
        <v>83.03</v>
      </c>
      <c r="W54">
        <v>81.93</v>
      </c>
      <c r="X54">
        <v>105.77</v>
      </c>
      <c r="Y54">
        <v>109.65</v>
      </c>
      <c r="Z54">
        <v>113.31</v>
      </c>
      <c r="AA54">
        <v>100.19</v>
      </c>
      <c r="AB54">
        <v>100.74</v>
      </c>
      <c r="AC54">
        <v>98.82</v>
      </c>
    </row>
    <row r="55" spans="1:29" x14ac:dyDescent="0.25">
      <c r="A55" t="s">
        <v>50</v>
      </c>
      <c r="B55" t="s">
        <v>56</v>
      </c>
      <c r="C55" t="s">
        <v>53</v>
      </c>
      <c r="D55" s="3">
        <v>45717</v>
      </c>
      <c r="E55" s="3">
        <v>55153</v>
      </c>
      <c r="F55">
        <v>83.87</v>
      </c>
      <c r="G55">
        <v>77.14</v>
      </c>
      <c r="H55">
        <v>71.12</v>
      </c>
      <c r="I55">
        <v>65.23</v>
      </c>
      <c r="J55">
        <v>60.23</v>
      </c>
      <c r="K55">
        <v>52.33</v>
      </c>
      <c r="L55">
        <v>41.64</v>
      </c>
      <c r="M55">
        <v>45.26</v>
      </c>
      <c r="N55">
        <v>44.79</v>
      </c>
      <c r="O55">
        <v>46.38</v>
      </c>
      <c r="P55">
        <v>47.98</v>
      </c>
      <c r="Q55">
        <v>53.75</v>
      </c>
      <c r="R55">
        <v>58.69</v>
      </c>
      <c r="S55">
        <v>65.319999999999993</v>
      </c>
      <c r="T55">
        <v>71.45</v>
      </c>
      <c r="U55">
        <v>74.73</v>
      </c>
      <c r="V55">
        <v>75.13</v>
      </c>
      <c r="W55">
        <v>74.58</v>
      </c>
      <c r="X55">
        <v>100.83</v>
      </c>
      <c r="Y55">
        <v>106.13</v>
      </c>
      <c r="Z55">
        <v>111.34</v>
      </c>
      <c r="AA55">
        <v>100.99</v>
      </c>
      <c r="AB55">
        <v>102.67</v>
      </c>
      <c r="AC55">
        <v>98.16</v>
      </c>
    </row>
    <row r="56" spans="1:29" x14ac:dyDescent="0.25">
      <c r="A56" t="s">
        <v>50</v>
      </c>
      <c r="B56" t="s">
        <v>54</v>
      </c>
      <c r="C56" t="s">
        <v>74</v>
      </c>
      <c r="D56" s="3">
        <v>45717</v>
      </c>
      <c r="E56" s="3">
        <v>55153</v>
      </c>
      <c r="F56">
        <v>125.78</v>
      </c>
      <c r="G56">
        <v>116.47</v>
      </c>
      <c r="H56">
        <v>108.89</v>
      </c>
      <c r="I56">
        <v>101.1</v>
      </c>
      <c r="J56">
        <v>93.76</v>
      </c>
      <c r="K56">
        <v>84.2</v>
      </c>
      <c r="L56">
        <v>63.62</v>
      </c>
      <c r="M56">
        <v>78.180000000000007</v>
      </c>
      <c r="N56">
        <v>87.9</v>
      </c>
      <c r="O56">
        <v>94.86</v>
      </c>
      <c r="P56">
        <v>103.7</v>
      </c>
      <c r="Q56">
        <v>113.26</v>
      </c>
      <c r="R56">
        <v>117.23</v>
      </c>
      <c r="S56">
        <v>130.91999999999999</v>
      </c>
      <c r="T56">
        <v>143.99</v>
      </c>
      <c r="U56">
        <v>146.51</v>
      </c>
      <c r="V56">
        <v>139.49</v>
      </c>
      <c r="W56">
        <v>112.27</v>
      </c>
      <c r="X56">
        <v>143.91999999999999</v>
      </c>
      <c r="Y56">
        <v>155.51</v>
      </c>
      <c r="Z56">
        <v>164.14</v>
      </c>
      <c r="AA56">
        <v>148.76</v>
      </c>
      <c r="AB56">
        <v>148.13</v>
      </c>
      <c r="AC56">
        <v>137.78</v>
      </c>
    </row>
    <row r="57" spans="1:29" x14ac:dyDescent="0.25">
      <c r="A57" t="s">
        <v>50</v>
      </c>
      <c r="B57" t="s">
        <v>55</v>
      </c>
      <c r="C57" t="s">
        <v>74</v>
      </c>
      <c r="D57" s="3">
        <v>45717</v>
      </c>
      <c r="E57" s="3">
        <v>55153</v>
      </c>
      <c r="F57">
        <v>120.42</v>
      </c>
      <c r="G57">
        <v>110.71</v>
      </c>
      <c r="H57">
        <v>102.64</v>
      </c>
      <c r="I57">
        <v>95.07</v>
      </c>
      <c r="J57">
        <v>87.31</v>
      </c>
      <c r="K57">
        <v>77.39</v>
      </c>
      <c r="L57">
        <v>60.09</v>
      </c>
      <c r="M57">
        <v>72.16</v>
      </c>
      <c r="N57">
        <v>78.010000000000005</v>
      </c>
      <c r="O57">
        <v>83.02</v>
      </c>
      <c r="P57">
        <v>89.17</v>
      </c>
      <c r="Q57">
        <v>95.53</v>
      </c>
      <c r="R57">
        <v>97.6</v>
      </c>
      <c r="S57">
        <v>106.19</v>
      </c>
      <c r="T57">
        <v>113.2</v>
      </c>
      <c r="U57">
        <v>115.48</v>
      </c>
      <c r="V57">
        <v>111.75</v>
      </c>
      <c r="W57">
        <v>93.25</v>
      </c>
      <c r="X57">
        <v>127.64</v>
      </c>
      <c r="Y57">
        <v>136.47999999999999</v>
      </c>
      <c r="Z57">
        <v>141.57</v>
      </c>
      <c r="AA57">
        <v>123.53</v>
      </c>
      <c r="AB57">
        <v>123.55</v>
      </c>
      <c r="AC57">
        <v>119.16</v>
      </c>
    </row>
    <row r="58" spans="1:29" x14ac:dyDescent="0.25">
      <c r="A58" t="s">
        <v>50</v>
      </c>
      <c r="B58" t="s">
        <v>56</v>
      </c>
      <c r="C58" t="s">
        <v>74</v>
      </c>
      <c r="D58" s="3">
        <v>45717</v>
      </c>
      <c r="E58" s="3">
        <v>55153</v>
      </c>
      <c r="F58">
        <v>109.51</v>
      </c>
      <c r="G58">
        <v>101.12</v>
      </c>
      <c r="H58">
        <v>93.91</v>
      </c>
      <c r="I58">
        <v>86.55</v>
      </c>
      <c r="J58">
        <v>79.33</v>
      </c>
      <c r="K58">
        <v>70.63</v>
      </c>
      <c r="L58">
        <v>53.61</v>
      </c>
      <c r="M58">
        <v>58.71</v>
      </c>
      <c r="N58">
        <v>58.16</v>
      </c>
      <c r="O58">
        <v>59.78</v>
      </c>
      <c r="P58">
        <v>64.53</v>
      </c>
      <c r="Q58">
        <v>71.5</v>
      </c>
      <c r="R58">
        <v>79.069999999999993</v>
      </c>
      <c r="S58">
        <v>88.24</v>
      </c>
      <c r="T58">
        <v>96.85</v>
      </c>
      <c r="U58">
        <v>99.75</v>
      </c>
      <c r="V58">
        <v>97.31</v>
      </c>
      <c r="W58">
        <v>78.63</v>
      </c>
      <c r="X58">
        <v>115.99</v>
      </c>
      <c r="Y58">
        <v>127.25</v>
      </c>
      <c r="Z58">
        <v>135.96</v>
      </c>
      <c r="AA58">
        <v>126.89</v>
      </c>
      <c r="AB58">
        <v>127.83</v>
      </c>
      <c r="AC58">
        <v>120.74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B4A3-B118-4BCE-94AD-1CB392AF9D25}">
  <sheetPr codeName="Hoja5"/>
  <dimension ref="A1:AA11"/>
  <sheetViews>
    <sheetView workbookViewId="0">
      <selection activeCell="AA12" sqref="AA12"/>
    </sheetView>
  </sheetViews>
  <sheetFormatPr baseColWidth="10" defaultRowHeight="15" x14ac:dyDescent="0.25"/>
  <cols>
    <col min="1" max="1" width="24.42578125" customWidth="1"/>
    <col min="2" max="25" width="5.7109375" bestFit="1" customWidth="1"/>
    <col min="26" max="26" width="5.85546875" customWidth="1"/>
  </cols>
  <sheetData>
    <row r="1" spans="1:27" x14ac:dyDescent="0.25">
      <c r="A1" t="s">
        <v>75</v>
      </c>
      <c r="B1" t="s">
        <v>76</v>
      </c>
      <c r="C1">
        <v>1.6</v>
      </c>
      <c r="D1">
        <v>1.1000000000000001</v>
      </c>
      <c r="E1">
        <v>1.1000000000000001</v>
      </c>
      <c r="F1">
        <v>1</v>
      </c>
      <c r="G1">
        <v>1</v>
      </c>
      <c r="H1">
        <v>0.7</v>
      </c>
      <c r="I1">
        <v>0</v>
      </c>
      <c r="J1">
        <v>0</v>
      </c>
      <c r="K1">
        <v>0</v>
      </c>
      <c r="L1">
        <v>0</v>
      </c>
      <c r="M1">
        <v>0</v>
      </c>
      <c r="N1">
        <v>0.7</v>
      </c>
      <c r="O1">
        <v>0.7</v>
      </c>
      <c r="P1">
        <v>1.1000000000000001</v>
      </c>
      <c r="Q1">
        <v>1.6</v>
      </c>
      <c r="R1">
        <v>1.6</v>
      </c>
      <c r="S1">
        <v>1.6</v>
      </c>
      <c r="T1">
        <v>1.6</v>
      </c>
      <c r="U1">
        <v>1.9</v>
      </c>
      <c r="V1">
        <v>1.9</v>
      </c>
      <c r="W1">
        <v>1.9</v>
      </c>
      <c r="X1">
        <v>1.9</v>
      </c>
      <c r="Y1">
        <v>1.9</v>
      </c>
      <c r="Z1">
        <v>1.9</v>
      </c>
    </row>
    <row r="2" spans="1:27" x14ac:dyDescent="0.25">
      <c r="A2" t="s">
        <v>81</v>
      </c>
      <c r="B2">
        <v>1377</v>
      </c>
      <c r="C2">
        <v>1378</v>
      </c>
      <c r="D2">
        <v>1380</v>
      </c>
      <c r="E2">
        <v>1381</v>
      </c>
      <c r="F2">
        <v>1383</v>
      </c>
      <c r="G2">
        <v>1385</v>
      </c>
      <c r="H2">
        <v>1345</v>
      </c>
      <c r="I2">
        <v>1299</v>
      </c>
      <c r="J2">
        <v>967</v>
      </c>
      <c r="K2">
        <v>963</v>
      </c>
      <c r="L2">
        <v>958</v>
      </c>
      <c r="M2">
        <v>954</v>
      </c>
      <c r="N2">
        <v>951</v>
      </c>
      <c r="O2">
        <v>942</v>
      </c>
      <c r="P2">
        <v>968</v>
      </c>
      <c r="Q2">
        <v>969</v>
      </c>
      <c r="R2">
        <v>971</v>
      </c>
      <c r="S2">
        <v>1378</v>
      </c>
      <c r="T2">
        <v>1372</v>
      </c>
      <c r="U2">
        <v>1371</v>
      </c>
      <c r="V2">
        <v>1370</v>
      </c>
      <c r="W2">
        <v>1373</v>
      </c>
      <c r="X2">
        <v>1373</v>
      </c>
      <c r="Y2">
        <v>1375</v>
      </c>
    </row>
    <row r="4" spans="1:27" x14ac:dyDescent="0.25">
      <c r="A4" t="s">
        <v>81</v>
      </c>
      <c r="B4">
        <v>1375</v>
      </c>
      <c r="C4">
        <v>1377</v>
      </c>
      <c r="D4">
        <v>1379</v>
      </c>
      <c r="E4">
        <v>1380</v>
      </c>
      <c r="F4">
        <v>1381</v>
      </c>
      <c r="G4">
        <v>1383</v>
      </c>
      <c r="H4">
        <v>1342</v>
      </c>
      <c r="I4">
        <v>1295</v>
      </c>
      <c r="J4">
        <v>1262</v>
      </c>
      <c r="K4">
        <v>1259</v>
      </c>
      <c r="L4">
        <v>1254</v>
      </c>
      <c r="M4">
        <v>1249</v>
      </c>
      <c r="N4">
        <v>1247</v>
      </c>
      <c r="O4">
        <v>1238</v>
      </c>
      <c r="P4">
        <v>1265</v>
      </c>
      <c r="Q4">
        <v>1264</v>
      </c>
      <c r="R4">
        <v>1267</v>
      </c>
      <c r="S4">
        <v>1377</v>
      </c>
      <c r="T4">
        <v>1371</v>
      </c>
      <c r="U4">
        <v>1370</v>
      </c>
      <c r="V4">
        <v>1368</v>
      </c>
      <c r="W4">
        <v>1371</v>
      </c>
      <c r="X4">
        <v>1372</v>
      </c>
      <c r="Y4">
        <v>1374</v>
      </c>
    </row>
    <row r="11" spans="1:27" x14ac:dyDescent="0.25">
      <c r="AA11">
        <f>120*0.3</f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Caribe2</vt:lpstr>
      <vt:lpstr>Gráfica_Caribe2</vt:lpstr>
      <vt:lpstr>Atlantico_LP</vt:lpstr>
      <vt:lpstr>Atlantico</vt:lpstr>
      <vt:lpstr>Bolivar_LP</vt:lpstr>
      <vt:lpstr>Bolivar</vt:lpstr>
      <vt:lpstr>GCM_LP</vt:lpstr>
      <vt:lpstr>GCM</vt:lpstr>
      <vt:lpstr>Elm_TipoDia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cp:lastPrinted>2024-03-19T17:51:17Z</cp:lastPrinted>
  <dcterms:created xsi:type="dcterms:W3CDTF">2024-03-19T13:55:21Z</dcterms:created>
  <dcterms:modified xsi:type="dcterms:W3CDTF">2026-03-12T13:42:22Z</dcterms:modified>
</cp:coreProperties>
</file>